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i.cs10\OneDrive\Desktop\"/>
    </mc:Choice>
  </mc:AlternateContent>
  <xr:revisionPtr revIDLastSave="2" documentId="8_{270A28B3-4A60-49D3-AE03-3562F14E9F99}" xr6:coauthVersionLast="36" xr6:coauthVersionMax="36" xr10:uidLastSave="{0D56D319-7F80-48D7-825B-70D48D03869A}"/>
  <workbookProtection workbookAlgorithmName="SHA-512" workbookHashValue="OIkuOF3eHzySP9daFtHtKED1Vs42iBTjzK5rgrBgDMn3Q8tBPUhN7sXGp8zxEqSnFWZeMorQsU25PVQaZjetrg==" workbookSaltValue="qm0JFPilva56DyfEUFRFLQ==" workbookSpinCount="100000" lockStructure="1"/>
  <bookViews>
    <workbookView xWindow="-120" yWindow="-120" windowWidth="20730" windowHeight="11160" tabRatio="284" xr2:uid="{50DCB852-9937-44E1-9912-3F6C24360B60}"/>
  </bookViews>
  <sheets>
    <sheet name="CS Schedule" sheetId="1" r:id="rId1"/>
    <sheet name="Sheet1" sheetId="3" state="hidden" r:id="rId2"/>
  </sheets>
  <definedNames>
    <definedName name="_xlnm._FilterDatabase" localSheetId="0" hidden="1">'CS Schedule'!$B$3:$B$12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A11" i="1" l="1"/>
  <c r="K11" i="1"/>
</calcChain>
</file>

<file path=xl/sharedStrings.xml><?xml version="1.0" encoding="utf-8"?>
<sst xmlns="http://schemas.openxmlformats.org/spreadsheetml/2006/main" count="71" uniqueCount="25">
  <si>
    <t>Saturday</t>
  </si>
  <si>
    <t>Sunday</t>
  </si>
  <si>
    <t>Monday</t>
  </si>
  <si>
    <t>Tuesday</t>
  </si>
  <si>
    <t>Wednesday</t>
  </si>
  <si>
    <t>Thursday</t>
  </si>
  <si>
    <t>Friday</t>
  </si>
  <si>
    <t>OFF</t>
  </si>
  <si>
    <t>ID</t>
  </si>
  <si>
    <r>
      <t xml:space="preserve">8 AM - 5 PM
</t>
    </r>
    <r>
      <rPr>
        <b/>
        <sz val="11"/>
        <color theme="0" tint="-0.499984740745262"/>
        <rFont val="Tahoma"/>
        <family val="2"/>
      </rPr>
      <t>Morning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00B050"/>
        <rFont val="Tahoma"/>
        <family val="2"/>
      </rPr>
      <t>TRI</t>
    </r>
    <r>
      <rPr>
        <b/>
        <sz val="9"/>
        <rFont val="Tahoma"/>
        <family val="2"/>
      </rPr>
      <t>)</t>
    </r>
  </si>
  <si>
    <r>
      <t xml:space="preserve">8 AM -5 PM
</t>
    </r>
    <r>
      <rPr>
        <b/>
        <sz val="11"/>
        <color theme="0" tint="-0.499984740745262"/>
        <rFont val="Tahoma"/>
        <family val="2"/>
      </rPr>
      <t>Morning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FF0000"/>
        <rFont val="Tahoma"/>
        <family val="2"/>
      </rPr>
      <t>REH</t>
    </r>
    <r>
      <rPr>
        <b/>
        <sz val="9"/>
        <rFont val="Tahoma"/>
        <family val="2"/>
      </rPr>
      <t>)</t>
    </r>
  </si>
  <si>
    <r>
      <t xml:space="preserve">4 PM - 1 AM
</t>
    </r>
    <r>
      <rPr>
        <b/>
        <sz val="11"/>
        <color theme="0" tint="-0.499984740745262"/>
        <rFont val="Tahoma"/>
        <family val="2"/>
      </rPr>
      <t>Night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FF0000"/>
        <rFont val="Tahoma"/>
        <family val="2"/>
      </rPr>
      <t>REH</t>
    </r>
    <r>
      <rPr>
        <b/>
        <sz val="9"/>
        <rFont val="Tahoma"/>
        <family val="2"/>
      </rPr>
      <t>)</t>
    </r>
  </si>
  <si>
    <r>
      <t xml:space="preserve">4 PM - 1 AM
</t>
    </r>
    <r>
      <rPr>
        <b/>
        <sz val="11"/>
        <color theme="0" tint="-0.499984740745262"/>
        <rFont val="Tahoma"/>
        <family val="2"/>
      </rPr>
      <t>Night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00B050"/>
        <rFont val="Tahoma"/>
        <family val="2"/>
      </rPr>
      <t>TRI</t>
    </r>
    <r>
      <rPr>
        <b/>
        <sz val="9"/>
        <rFont val="Tahoma"/>
        <family val="2"/>
      </rPr>
      <t>)</t>
    </r>
  </si>
  <si>
    <r>
      <t xml:space="preserve">8 AM - 5 PM
</t>
    </r>
    <r>
      <rPr>
        <b/>
        <sz val="11"/>
        <color theme="0" tint="-0.499984740745262"/>
        <rFont val="Tahoma"/>
        <family val="2"/>
      </rPr>
      <t>Between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00B050"/>
        <rFont val="Tahoma"/>
        <family val="2"/>
      </rPr>
      <t>TRI</t>
    </r>
    <r>
      <rPr>
        <b/>
        <sz val="9"/>
        <rFont val="Tahoma"/>
        <family val="2"/>
      </rPr>
      <t>)</t>
    </r>
  </si>
  <si>
    <r>
      <t xml:space="preserve">8 AM - 5 PM
</t>
    </r>
    <r>
      <rPr>
        <b/>
        <sz val="11"/>
        <color theme="0" tint="-0.499984740745262"/>
        <rFont val="Tahoma"/>
        <family val="2"/>
      </rPr>
      <t>Between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FF0000"/>
        <rFont val="Tahoma"/>
        <family val="2"/>
      </rPr>
      <t>REH</t>
    </r>
    <r>
      <rPr>
        <b/>
        <sz val="9"/>
        <rFont val="Tahoma"/>
        <family val="2"/>
      </rPr>
      <t>)</t>
    </r>
  </si>
  <si>
    <t>Customer Service Department Schedule</t>
  </si>
  <si>
    <r>
      <t xml:space="preserve">12 PM - 9 PM
</t>
    </r>
    <r>
      <rPr>
        <b/>
        <sz val="11"/>
        <color theme="0" tint="-0.499984740745262"/>
        <rFont val="Tahoma"/>
        <family val="2"/>
      </rPr>
      <t>Between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FF0000"/>
        <rFont val="Tahoma"/>
        <family val="2"/>
      </rPr>
      <t>REH</t>
    </r>
    <r>
      <rPr>
        <b/>
        <sz val="9"/>
        <rFont val="Tahoma"/>
        <family val="2"/>
      </rPr>
      <t>)</t>
    </r>
  </si>
  <si>
    <r>
      <t xml:space="preserve">12 PM - 9 PM
</t>
    </r>
    <r>
      <rPr>
        <b/>
        <sz val="11"/>
        <color theme="0" tint="-0.499984740745262"/>
        <rFont val="Tahoma"/>
        <family val="2"/>
      </rPr>
      <t>Between</t>
    </r>
    <r>
      <rPr>
        <b/>
        <sz val="11"/>
        <rFont val="Tahoma"/>
        <family val="2"/>
      </rPr>
      <t xml:space="preserve">
</t>
    </r>
    <r>
      <rPr>
        <b/>
        <sz val="9"/>
        <rFont val="Tahoma"/>
        <family val="2"/>
      </rPr>
      <t>(</t>
    </r>
    <r>
      <rPr>
        <b/>
        <sz val="9"/>
        <color rgb="FF00B050"/>
        <rFont val="Tahoma"/>
        <family val="2"/>
      </rPr>
      <t>TRI</t>
    </r>
    <r>
      <rPr>
        <b/>
        <sz val="9"/>
        <rFont val="Tahoma"/>
        <family val="2"/>
      </rPr>
      <t>)</t>
    </r>
  </si>
  <si>
    <r>
      <rPr>
        <b/>
        <sz val="18"/>
        <color theme="1"/>
        <rFont val="Agency FB"/>
        <family val="2"/>
      </rPr>
      <t>Abd Allah Mosaad</t>
    </r>
    <r>
      <rPr>
        <b/>
        <sz val="14"/>
        <color theme="1"/>
        <rFont val="Agency FB"/>
        <family val="2"/>
      </rPr>
      <t xml:space="preserve">
</t>
    </r>
    <r>
      <rPr>
        <b/>
        <sz val="12"/>
        <color rgb="FFFF0000"/>
        <rFont val="Agency FB"/>
        <family val="2"/>
      </rPr>
      <t>CS Coordinator</t>
    </r>
    <r>
      <rPr>
        <b/>
        <sz val="14"/>
        <color rgb="FFFF0000"/>
        <rFont val="Agency FB"/>
        <family val="2"/>
      </rPr>
      <t xml:space="preserve">
</t>
    </r>
    <r>
      <rPr>
        <b/>
        <sz val="11"/>
        <color theme="0" tint="-0.499984740745262"/>
        <rFont val="Agency FB"/>
        <family val="2"/>
      </rPr>
      <t xml:space="preserve">011 55906362 </t>
    </r>
  </si>
  <si>
    <r>
      <rPr>
        <b/>
        <sz val="18"/>
        <color theme="1"/>
        <rFont val="Agency FB"/>
        <family val="2"/>
      </rPr>
      <t>Karim Shawky</t>
    </r>
    <r>
      <rPr>
        <b/>
        <sz val="14"/>
        <color theme="1"/>
        <rFont val="Agency FB"/>
        <family val="2"/>
      </rPr>
      <t xml:space="preserve">
</t>
    </r>
    <r>
      <rPr>
        <b/>
        <sz val="12"/>
        <color rgb="FFFF0000"/>
        <rFont val="Agency FB"/>
        <family val="2"/>
      </rPr>
      <t>CS Supervisor</t>
    </r>
    <r>
      <rPr>
        <b/>
        <sz val="14"/>
        <color rgb="FFFF0000"/>
        <rFont val="Agency FB"/>
        <family val="2"/>
      </rPr>
      <t xml:space="preserve">
</t>
    </r>
    <r>
      <rPr>
        <b/>
        <sz val="11"/>
        <color theme="0" tint="-0.499984740745262"/>
        <rFont val="Agency FB"/>
        <family val="2"/>
      </rPr>
      <t>010 70027752</t>
    </r>
  </si>
  <si>
    <r>
      <rPr>
        <b/>
        <sz val="18"/>
        <color theme="1"/>
        <rFont val="Agency FB"/>
        <family val="2"/>
      </rPr>
      <t>Moamen Bahaa El Din</t>
    </r>
    <r>
      <rPr>
        <b/>
        <sz val="14"/>
        <color theme="1"/>
        <rFont val="Agency FB"/>
        <family val="2"/>
      </rPr>
      <t xml:space="preserve">
</t>
    </r>
    <r>
      <rPr>
        <b/>
        <sz val="12"/>
        <color rgb="FFC00000"/>
        <rFont val="Agency FB"/>
        <family val="2"/>
      </rPr>
      <t>Customer Service Manager</t>
    </r>
    <r>
      <rPr>
        <b/>
        <sz val="14"/>
        <color rgb="FFC00000"/>
        <rFont val="Agency FB"/>
        <family val="2"/>
      </rPr>
      <t xml:space="preserve"> </t>
    </r>
    <r>
      <rPr>
        <b/>
        <sz val="14"/>
        <color theme="1"/>
        <rFont val="Agency FB"/>
        <family val="2"/>
      </rPr>
      <t xml:space="preserve">
</t>
    </r>
    <r>
      <rPr>
        <b/>
        <sz val="11"/>
        <color theme="0" tint="-0.499984740745262"/>
        <rFont val="Agency FB"/>
        <family val="2"/>
      </rPr>
      <t>011 50560001</t>
    </r>
  </si>
  <si>
    <r>
      <rPr>
        <b/>
        <sz val="18"/>
        <color theme="1"/>
        <rFont val="Agency FB"/>
        <family val="2"/>
      </rPr>
      <t xml:space="preserve">Amr Yasser </t>
    </r>
    <r>
      <rPr>
        <b/>
        <sz val="14"/>
        <color theme="1"/>
        <rFont val="Agency FB"/>
        <family val="2"/>
      </rPr>
      <t xml:space="preserve">
</t>
    </r>
    <r>
      <rPr>
        <b/>
        <sz val="12"/>
        <color rgb="FFFF0000"/>
        <rFont val="Agency FB"/>
        <family val="2"/>
      </rPr>
      <t xml:space="preserve">CS Coordinator </t>
    </r>
    <r>
      <rPr>
        <b/>
        <sz val="14"/>
        <color theme="1"/>
        <rFont val="Agency FB"/>
        <family val="2"/>
      </rPr>
      <t xml:space="preserve">
</t>
    </r>
    <r>
      <rPr>
        <b/>
        <sz val="11"/>
        <color theme="0" tint="-0.499984740745262"/>
        <rFont val="Agency FB"/>
        <family val="2"/>
      </rPr>
      <t xml:space="preserve">010 90329623 </t>
    </r>
  </si>
  <si>
    <r>
      <rPr>
        <b/>
        <sz val="18"/>
        <color theme="1"/>
        <rFont val="Agency FB"/>
        <family val="2"/>
      </rPr>
      <t>Mohamed Tamer</t>
    </r>
    <r>
      <rPr>
        <b/>
        <sz val="14"/>
        <color theme="1"/>
        <rFont val="Agency FB"/>
        <family val="2"/>
      </rPr>
      <t xml:space="preserve">
</t>
    </r>
    <r>
      <rPr>
        <b/>
        <sz val="12"/>
        <color rgb="FFFF0000"/>
        <rFont val="Agency FB"/>
        <family val="2"/>
      </rPr>
      <t>CS Supervisor</t>
    </r>
    <r>
      <rPr>
        <b/>
        <sz val="14"/>
        <color rgb="FFFF0000"/>
        <rFont val="Agency FB"/>
        <family val="2"/>
      </rPr>
      <t xml:space="preserve">
</t>
    </r>
    <r>
      <rPr>
        <b/>
        <sz val="11"/>
        <color theme="0" tint="-0.499984740745262"/>
        <rFont val="Agency FB"/>
        <family val="2"/>
      </rPr>
      <t>010 59775384</t>
    </r>
    <r>
      <rPr>
        <b/>
        <sz val="11"/>
        <color theme="1"/>
        <rFont val="Agency FB"/>
        <family val="2"/>
      </rPr>
      <t xml:space="preserve">  </t>
    </r>
    <r>
      <rPr>
        <b/>
        <sz val="14"/>
        <color theme="1"/>
        <rFont val="Agency FB"/>
        <family val="2"/>
      </rPr>
      <t xml:space="preserve">                              </t>
    </r>
  </si>
  <si>
    <t>Need Cover</t>
  </si>
  <si>
    <r>
      <t xml:space="preserve">Ahmed Yasser
</t>
    </r>
    <r>
      <rPr>
        <b/>
        <sz val="12"/>
        <color rgb="FFFF0000"/>
        <rFont val="Agency FB"/>
        <family val="2"/>
      </rPr>
      <t>CS Coordinator</t>
    </r>
    <r>
      <rPr>
        <b/>
        <sz val="18"/>
        <color theme="1"/>
        <rFont val="Agency FB"/>
        <family val="2"/>
      </rPr>
      <t xml:space="preserve">
</t>
    </r>
    <r>
      <rPr>
        <b/>
        <sz val="11"/>
        <color theme="0" tint="-0.499984740745262"/>
        <rFont val="Agency FB"/>
        <family val="2"/>
      </rPr>
      <t>01159586006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</si>
</sst>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 tint="-0.499984740745262"/>
      <name val="Tahoma"/>
      <family val="2"/>
    </font>
    <font>
      <b/>
      <sz val="11"/>
      <name val="Tahoma"/>
      <family val="2"/>
    </font>
    <font>
      <b/>
      <sz val="11"/>
      <color theme="0" tint="-0.499984740745262"/>
      <name val="Tahoma"/>
      <family val="2"/>
    </font>
    <font>
      <sz val="8"/>
      <name val="Calibri"/>
      <family val="2"/>
      <scheme val="minor"/>
    </font>
    <font>
      <b/>
      <sz val="8"/>
      <color theme="0"/>
      <name val="Tahoma"/>
      <family val="2"/>
    </font>
    <font>
      <b/>
      <sz val="9"/>
      <name val="Tahoma"/>
      <family val="2"/>
    </font>
    <font>
      <b/>
      <sz val="9"/>
      <color rgb="FF00B050"/>
      <name val="Tahoma"/>
      <family val="2"/>
    </font>
    <font>
      <b/>
      <sz val="9"/>
      <color rgb="FFFF0000"/>
      <name val="Tahoma"/>
      <family val="2"/>
    </font>
    <font>
      <sz val="8"/>
      <color theme="0"/>
      <name val="Calibri"/>
      <family val="2"/>
      <scheme val="minor"/>
    </font>
    <font>
      <b/>
      <sz val="11"/>
      <color theme="0"/>
      <name val="Tahoma"/>
      <family val="2"/>
    </font>
    <font>
      <b/>
      <sz val="10"/>
      <color theme="0"/>
      <name val="Tahoma"/>
      <family val="2"/>
    </font>
    <font>
      <b/>
      <sz val="14"/>
      <color theme="0"/>
      <name val="Agency FB"/>
      <family val="2"/>
    </font>
    <font>
      <b/>
      <sz val="14"/>
      <color theme="1"/>
      <name val="Agency FB"/>
      <family val="2"/>
    </font>
    <font>
      <b/>
      <sz val="14"/>
      <color rgb="FFC00000"/>
      <name val="Agency FB"/>
      <family val="2"/>
    </font>
    <font>
      <b/>
      <sz val="14"/>
      <color rgb="FFFF0000"/>
      <name val="Agency FB"/>
      <family val="2"/>
    </font>
    <font>
      <b/>
      <sz val="18"/>
      <color theme="1"/>
      <name val="Agency FB"/>
      <family val="2"/>
    </font>
    <font>
      <b/>
      <sz val="11"/>
      <color theme="0" tint="-0.499984740745262"/>
      <name val="Agency FB"/>
      <family val="2"/>
    </font>
    <font>
      <b/>
      <sz val="11"/>
      <color theme="1"/>
      <name val="Agency FB"/>
      <family val="2"/>
    </font>
    <font>
      <b/>
      <sz val="12"/>
      <color rgb="FFFF0000"/>
      <name val="Agency FB"/>
      <family val="2"/>
    </font>
    <font>
      <b/>
      <sz val="12"/>
      <color rgb="FFC00000"/>
      <name val="Agency FB"/>
      <family val="2"/>
    </font>
    <font>
      <b/>
      <u/>
      <sz val="11"/>
      <color theme="3" tint="-0.499984740745262"/>
      <name val="Tahoma"/>
      <family val="2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bgColor theme="1" tint="0.499984740745262"/>
      </patternFill>
    </fill>
    <fill>
      <patternFill patternType="solid">
        <fgColor rgb="FFC00000"/>
        <bgColor indexed="64"/>
      </patternFill>
    </fill>
    <fill>
      <patternFill patternType="solid">
        <fgColor rgb="FF740000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500000"/>
        <bgColor indexed="64"/>
      </patternFill>
    </fill>
    <fill>
      <patternFill patternType="solid">
        <fgColor rgb="FFFCEBD8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49" fontId="4" fillId="2" borderId="5" xfId="0" applyNumberFormat="1" applyFont="1" applyFill="1" applyBorder="1" applyAlignment="1" applyProtection="1">
      <alignment horizontal="center" vertical="center" wrapText="1"/>
      <protection locked="0"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3" borderId="6" xfId="0" applyFont="1" applyFill="1" applyBorder="1" applyAlignment="1" applyProtection="1">
      <alignment horizontal="center" vertical="center" wrapText="1"/>
      <protection hidden="1"/>
    </xf>
    <xf numFmtId="49" fontId="4" fillId="2" borderId="6" xfId="0" applyNumberFormat="1" applyFont="1" applyFill="1" applyBorder="1" applyAlignment="1" applyProtection="1">
      <alignment horizontal="center" vertical="center" wrapText="1"/>
      <protection hidden="1"/>
    </xf>
    <xf numFmtId="0" fontId="11" fillId="5" borderId="7" xfId="0" applyFont="1" applyFill="1" applyBorder="1" applyAlignment="1" applyProtection="1">
      <alignment horizontal="center" vertical="center" wrapText="1"/>
      <protection hidden="1"/>
    </xf>
    <xf numFmtId="0" fontId="2" fillId="5" borderId="7" xfId="0" applyFont="1" applyFill="1" applyBorder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vertical="center" wrapText="1"/>
      <protection hidden="1"/>
    </xf>
    <xf numFmtId="0" fontId="7" fillId="5" borderId="3" xfId="0" applyFont="1" applyFill="1" applyBorder="1" applyAlignment="1" applyProtection="1">
      <alignment horizontal="center" vertical="center" wrapText="1"/>
      <protection hidden="1"/>
    </xf>
    <xf numFmtId="49" fontId="4" fillId="6" borderId="6" xfId="0" applyNumberFormat="1" applyFont="1" applyFill="1" applyBorder="1" applyAlignment="1" applyProtection="1">
      <alignment horizontal="center" vertical="center" wrapText="1"/>
      <protection hidden="1"/>
    </xf>
    <xf numFmtId="0" fontId="14" fillId="7" borderId="1" xfId="0" applyFont="1" applyFill="1" applyBorder="1" applyAlignment="1" applyProtection="1">
      <alignment horizontal="center" vertical="center" wrapText="1"/>
      <protection hidden="1"/>
    </xf>
    <xf numFmtId="0" fontId="14" fillId="4" borderId="1" xfId="0" applyFont="1" applyFill="1" applyBorder="1" applyAlignment="1" applyProtection="1">
      <alignment horizontal="center" vertical="center" wrapText="1"/>
      <protection hidden="1"/>
    </xf>
    <xf numFmtId="0" fontId="15" fillId="8" borderId="8" xfId="0" applyFont="1" applyFill="1" applyBorder="1" applyAlignment="1" applyProtection="1">
      <alignment horizontal="center" vertical="center" wrapText="1"/>
      <protection hidden="1"/>
    </xf>
    <xf numFmtId="0" fontId="15" fillId="8" borderId="9" xfId="0" applyFont="1" applyFill="1" applyBorder="1" applyAlignment="1" applyProtection="1">
      <alignment horizontal="center" vertical="center" wrapText="1"/>
      <protection hidden="1"/>
    </xf>
    <xf numFmtId="0" fontId="15" fillId="8" borderId="12" xfId="0" applyFont="1" applyFill="1" applyBorder="1" applyAlignment="1" applyProtection="1">
      <alignment horizontal="center" vertical="center" wrapText="1"/>
      <protection hidden="1"/>
    </xf>
    <xf numFmtId="0" fontId="14" fillId="4" borderId="2" xfId="0" applyFont="1" applyFill="1" applyBorder="1" applyAlignment="1" applyProtection="1">
      <alignment horizontal="center" vertical="center" wrapText="1"/>
      <protection hidden="1"/>
    </xf>
    <xf numFmtId="0" fontId="14" fillId="4" borderId="4" xfId="0" applyFont="1" applyFill="1" applyBorder="1" applyAlignment="1" applyProtection="1">
      <alignment horizontal="center" vertical="center" wrapText="1"/>
      <protection hidden="1"/>
    </xf>
    <xf numFmtId="164" fontId="14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0" fontId="13" fillId="4" borderId="5" xfId="0" applyFont="1" applyFill="1" applyBorder="1" applyAlignment="1" applyProtection="1">
      <alignment horizontal="center" vertical="center" wrapText="1"/>
      <protection hidden="1"/>
    </xf>
    <xf numFmtId="49" fontId="4" fillId="9" borderId="5" xfId="0" applyNumberFormat="1" applyFont="1" applyFill="1" applyBorder="1" applyAlignment="1" applyProtection="1">
      <alignment horizontal="center" vertical="center" wrapText="1"/>
      <protection locked="0" hidden="1"/>
    </xf>
    <xf numFmtId="49" fontId="4" fillId="9" borderId="17" xfId="0" applyNumberFormat="1" applyFont="1" applyFill="1" applyBorder="1" applyAlignment="1" applyProtection="1">
      <alignment horizontal="center" vertical="center" wrapText="1"/>
      <protection locked="0" hidden="1"/>
    </xf>
    <xf numFmtId="0" fontId="18" fillId="8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quotePrefix="1" applyFont="1" applyAlignment="1" applyProtection="1">
      <alignment horizontal="center" vertical="center"/>
      <protection hidden="1"/>
    </xf>
    <xf numFmtId="0" fontId="1" fillId="10" borderId="0" xfId="0" applyFont="1" applyFill="1" applyAlignment="1" applyProtection="1">
      <alignment horizontal="center" vertical="center"/>
      <protection hidden="1"/>
    </xf>
    <xf numFmtId="49" fontId="4" fillId="2" borderId="17" xfId="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16" xfId="0" applyFont="1" applyFill="1" applyBorder="1" applyAlignment="1" applyProtection="1">
      <alignment horizontal="center" vertical="center" wrapText="1"/>
      <protection hidden="1"/>
    </xf>
    <xf numFmtId="0" fontId="23" fillId="3" borderId="18" xfId="0" applyFont="1" applyFill="1" applyBorder="1" applyAlignment="1" applyProtection="1">
      <alignment horizontal="center" vertical="center" wrapText="1"/>
      <protection hidden="1"/>
    </xf>
    <xf numFmtId="0" fontId="12" fillId="4" borderId="13" xfId="0" applyFont="1" applyFill="1" applyBorder="1" applyAlignment="1" applyProtection="1">
      <alignment horizontal="center" vertical="center" wrapText="1"/>
      <protection hidden="1"/>
    </xf>
    <xf numFmtId="0" fontId="12" fillId="4" borderId="14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ck">
          <color indexed="64"/>
        </top>
        <bottom style="thick">
          <color indexed="64"/>
        </bottom>
      </border>
      <protection locked="1" hidden="1"/>
    </dxf>
    <dxf>
      <border outline="0">
        <right style="thick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rgb="FF740000"/>
        </patternFill>
      </fill>
      <alignment horizontal="center" vertical="center" textRotation="0" wrapText="1" indent="0" justifyLastLine="0" shrinkToFit="0" readingOrder="0"/>
      <protection locked="1" hidden="1"/>
    </dxf>
  </dxfs>
  <tableStyles count="0" defaultTableStyle="TableStyleMedium2" defaultPivotStyle="PivotStyleLight16"/>
  <colors>
    <mruColors>
      <color rgb="FF740000"/>
      <color rgb="FFFFD1D1"/>
      <color rgb="FFFFBDBD"/>
      <color rgb="FF040000"/>
      <color rgb="FF500000"/>
      <color rgb="FFFCEBD8"/>
      <color rgb="FFFFD5D5"/>
      <color rgb="FFFF4747"/>
      <color rgb="FFA69B62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2017331</xdr:colOff>
      <xdr:row>2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76DBE-C26F-4074-9262-3254B25834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398" b="33038"/>
        <a:stretch/>
      </xdr:blipFill>
      <xdr:spPr>
        <a:xfrm>
          <a:off x="0" y="0"/>
          <a:ext cx="2688703" cy="2887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3F31F-B292-4ECD-AE10-94B932334C2A}" name="Table1" displayName="Table1" ref="A4:A10" totalsRowShown="0" headerRowDxfId="3" dataDxfId="2" tableBorderDxfId="1">
  <autoFilter ref="A4:A10" xr:uid="{99A706C0-53C1-4300-9959-061FF58BF055}"/>
  <tableColumns count="1">
    <tableColumn id="1" xr3:uid="{227D3DEB-24A7-404D-B392-97EC6A6BCC31}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824F-A631-434B-B9FC-C592FE1EBC87}">
  <sheetPr codeName="Sheet2"/>
  <dimension ref="A1:M12"/>
  <sheetViews>
    <sheetView tabSelected="1" zoomScale="65" zoomScaleNormal="65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D12" sqref="D12"/>
    </sheetView>
  </sheetViews>
  <sheetFormatPr defaultColWidth="9.140625" defaultRowHeight="18.75" x14ac:dyDescent="0.25"/>
  <cols>
    <col min="1" max="1" width="10.140625" style="1" bestFit="1" customWidth="1"/>
    <col min="2" max="2" width="31.5703125" style="1" customWidth="1"/>
    <col min="3" max="10" width="23" style="1" customWidth="1"/>
    <col min="11" max="11" width="2" style="1" customWidth="1"/>
    <col min="12" max="12" width="10.28515625" style="1" bestFit="1" customWidth="1"/>
    <col min="13" max="13" width="30.140625" style="1" hidden="1" customWidth="1"/>
    <col min="14" max="16384" width="9.140625" style="1"/>
  </cols>
  <sheetData>
    <row r="1" spans="1:13" s="2" customFormat="1" ht="4.5" customHeight="1" thickBot="1" x14ac:dyDescent="0.3">
      <c r="A1" s="33"/>
      <c r="B1" s="33"/>
      <c r="C1" s="27"/>
      <c r="D1" s="5"/>
      <c r="E1" s="27"/>
      <c r="F1" s="5"/>
      <c r="G1" s="27"/>
      <c r="H1" s="5"/>
      <c r="I1" s="5"/>
      <c r="J1" s="27"/>
    </row>
    <row r="2" spans="1:13" ht="14.25" customHeight="1" thickTop="1" thickBot="1" x14ac:dyDescent="0.3">
      <c r="A2" s="3"/>
      <c r="B2" s="3"/>
      <c r="C2" s="13" t="s">
        <v>0</v>
      </c>
      <c r="D2" s="14" t="s">
        <v>1</v>
      </c>
      <c r="E2" s="14" t="s">
        <v>2</v>
      </c>
      <c r="F2" s="14" t="s">
        <v>3</v>
      </c>
      <c r="G2" s="14" t="s">
        <v>4</v>
      </c>
      <c r="H2" s="14" t="s">
        <v>5</v>
      </c>
      <c r="I2" s="14" t="s">
        <v>6</v>
      </c>
      <c r="J2" s="14" t="s">
        <v>0</v>
      </c>
      <c r="K2" s="21"/>
    </row>
    <row r="3" spans="1:13" ht="16.5" customHeight="1" thickTop="1" thickBot="1" x14ac:dyDescent="0.3">
      <c r="A3" s="34" t="s">
        <v>15</v>
      </c>
      <c r="B3" s="35"/>
      <c r="C3" s="20">
        <v>46319</v>
      </c>
      <c r="D3" s="20">
        <v>46320</v>
      </c>
      <c r="E3" s="20">
        <v>46321</v>
      </c>
      <c r="F3" s="20">
        <v>46322</v>
      </c>
      <c r="G3" s="20">
        <v>46323</v>
      </c>
      <c r="H3" s="20">
        <v>46324</v>
      </c>
      <c r="I3" s="20">
        <v>46325</v>
      </c>
      <c r="J3" s="20">
        <v>46326</v>
      </c>
      <c r="K3" s="21"/>
    </row>
    <row r="4" spans="1:13" ht="10.5" customHeight="1" thickTop="1" thickBot="1" x14ac:dyDescent="0.3">
      <c r="A4" s="8" t="s">
        <v>8</v>
      </c>
      <c r="B4" s="9"/>
      <c r="C4" s="10"/>
      <c r="D4" s="10"/>
      <c r="E4" s="10"/>
      <c r="F4" s="10"/>
      <c r="G4" s="11"/>
      <c r="H4" s="10"/>
      <c r="I4" s="10"/>
      <c r="J4" s="10"/>
      <c r="K4" s="21"/>
    </row>
    <row r="5" spans="1:13" ht="60.75" thickTop="1" thickBot="1" x14ac:dyDescent="0.3">
      <c r="A5" s="18">
        <v>10349</v>
      </c>
      <c r="B5" s="15" t="s">
        <v>20</v>
      </c>
      <c r="C5" s="6" t="s">
        <v>7</v>
      </c>
      <c r="I5" s="6" t="s">
        <v>7</v>
      </c>
      <c r="J5" s="6" t="s">
        <v>7</v>
      </c>
      <c r="K5" s="21"/>
      <c r="M5" s="7" t="s">
        <v>9</v>
      </c>
    </row>
    <row r="6" spans="1:13" ht="60.75" thickTop="1" thickBot="1" x14ac:dyDescent="0.3">
      <c r="A6" s="18">
        <v>10381</v>
      </c>
      <c r="B6" s="16" t="s">
        <v>19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28" t="s">
        <v>9</v>
      </c>
      <c r="I6" s="30" t="s">
        <v>7</v>
      </c>
      <c r="J6" s="4" t="s">
        <v>9</v>
      </c>
      <c r="K6" s="21"/>
      <c r="M6" s="7" t="s">
        <v>17</v>
      </c>
    </row>
    <row r="7" spans="1:13" ht="60.75" thickTop="1" thickBot="1" x14ac:dyDescent="0.3">
      <c r="A7" s="18">
        <v>10542</v>
      </c>
      <c r="B7" s="16" t="s">
        <v>22</v>
      </c>
      <c r="C7" s="6" t="s">
        <v>7</v>
      </c>
      <c r="D7" s="23" t="s">
        <v>10</v>
      </c>
      <c r="E7" s="23" t="s">
        <v>10</v>
      </c>
      <c r="F7" s="23" t="s">
        <v>10</v>
      </c>
      <c r="G7" s="23" t="s">
        <v>10</v>
      </c>
      <c r="H7" s="23" t="s">
        <v>10</v>
      </c>
      <c r="I7" s="23" t="s">
        <v>10</v>
      </c>
      <c r="J7" s="6" t="s">
        <v>7</v>
      </c>
      <c r="K7" s="21"/>
      <c r="M7" s="7" t="s">
        <v>12</v>
      </c>
    </row>
    <row r="8" spans="1:13" ht="60.75" thickTop="1" thickBot="1" x14ac:dyDescent="0.3">
      <c r="A8" s="19">
        <v>10827</v>
      </c>
      <c r="B8" s="17" t="s">
        <v>18</v>
      </c>
      <c r="C8" s="23" t="s">
        <v>10</v>
      </c>
      <c r="E8" s="23" t="s">
        <v>10</v>
      </c>
      <c r="F8" s="4" t="s">
        <v>12</v>
      </c>
      <c r="G8" s="4" t="s">
        <v>12</v>
      </c>
      <c r="H8" s="29" t="s">
        <v>7</v>
      </c>
      <c r="I8" s="4" t="s">
        <v>9</v>
      </c>
      <c r="J8" s="23" t="s">
        <v>10</v>
      </c>
      <c r="K8" s="21"/>
      <c r="M8" s="12" t="s">
        <v>10</v>
      </c>
    </row>
    <row r="9" spans="1:13" ht="60.75" thickTop="1" thickBot="1" x14ac:dyDescent="0.3">
      <c r="A9" s="19">
        <v>10868</v>
      </c>
      <c r="B9" s="17" t="s">
        <v>21</v>
      </c>
      <c r="C9" s="4" t="s">
        <v>12</v>
      </c>
      <c r="D9" s="4" t="s">
        <v>12</v>
      </c>
      <c r="E9" s="4" t="s">
        <v>12</v>
      </c>
      <c r="F9" s="23" t="s">
        <v>11</v>
      </c>
      <c r="G9" s="6" t="s">
        <v>7</v>
      </c>
      <c r="H9" s="4" t="s">
        <v>12</v>
      </c>
      <c r="I9" s="4" t="s">
        <v>12</v>
      </c>
      <c r="J9" s="4" t="s">
        <v>12</v>
      </c>
      <c r="K9" s="21"/>
      <c r="M9" s="12" t="s">
        <v>16</v>
      </c>
    </row>
    <row r="10" spans="1:13" ht="66.75" thickTop="1" thickBot="1" x14ac:dyDescent="0.3">
      <c r="A10" s="19"/>
      <c r="B10" s="25" t="s">
        <v>24</v>
      </c>
      <c r="C10" s="23" t="s">
        <v>11</v>
      </c>
      <c r="D10" s="24" t="s">
        <v>11</v>
      </c>
      <c r="E10" s="23" t="s">
        <v>11</v>
      </c>
      <c r="G10" s="23" t="s">
        <v>11</v>
      </c>
      <c r="H10" s="23" t="s">
        <v>11</v>
      </c>
      <c r="I10" s="23" t="s">
        <v>11</v>
      </c>
      <c r="J10" s="23" t="s">
        <v>11</v>
      </c>
      <c r="K10" s="21"/>
      <c r="L10" s="6" t="s">
        <v>7</v>
      </c>
      <c r="M10" s="12" t="s">
        <v>11</v>
      </c>
    </row>
    <row r="11" spans="1:13" ht="42" customHeight="1" thickTop="1" thickBot="1" x14ac:dyDescent="0.3">
      <c r="A11" s="31" t="str">
        <f>"H.C:      " &amp; COUNTA(B6:B9)</f>
        <v>H.C:      4</v>
      </c>
      <c r="B11" s="32"/>
      <c r="C11" s="22" t="str">
        <f t="shared" ref="C11:J11" si="0">IF(
SUMPRODUCT(--ISNUMBER(SEARCH("TRI",C5:C10)))=0,"",
"TRI : "&amp;
IF(
SUMPRODUCT(--ISNUMBER(SEARCH("TRI",C5:C10))*--ISNUMBER(SEARCH("Morning",C5:C10))*--ISERROR(SEARCH("Training",C5:C10)))&gt;0,
SUMPRODUCT(--ISNUMBER(SEARCH("TRI",C5:C10))*--ISNUMBER(SEARCH("Morning",C5:C10))*--ISERROR(SEARCH("Training",C5:C10)))&amp;" M ","")&amp;
IF(
SUMPRODUCT(--ISNUMBER(SEARCH("TRI",C5:C10))*--ISNUMBER(SEARCH("Between",C5:C10))*--ISERROR(SEARCH("Training",C5:C10)))&gt;0,
"- "&amp;SUMPRODUCT(--ISNUMBER(SEARCH("TRI",C5:C10))*--ISNUMBER(SEARCH("Between",C5:C10))*--ISERROR(SEARCH("Training",C5:C10)))&amp;" B ","")&amp;
IF(
SUMPRODUCT(--ISNUMBER(SEARCH("TRI",C5:C10))*--ISNUMBER(SEARCH("Night",C5:C10))*--ISERROR(SEARCH("Training",C5:C10)))&gt;0,
"- "&amp;SUMPRODUCT(--ISNUMBER(SEARCH("TRI",C5:C10))*--ISNUMBER(SEARCH("Night",C5:C10))*--ISERROR(SEARCH("Training",C5:C10)))&amp;" N ","")&amp;
IF(
SUMPRODUCT(--ISNUMBER(SEARCH("TRI",C5:C10))*--ISNUMBER(SEARCH("Training",C5:C10)))&gt;0,
"- "&amp;SUMPRODUCT(--ISNUMBER(SEARCH("TRI",C5:C10))*--ISNUMBER(SEARCH("Training",C5:C10)))&amp;" T","")
)
&amp;
IF(
AND(
SUMPRODUCT(--ISNUMBER(SEARCH("TRI",C5:C10)))&gt;0,
SUMPRODUCT(--ISNUMBER(SEARCH("REH",C5:C10)))&gt;0
),
"   |   ",""
)
&amp;
IF(
SUMPRODUCT(--ISNUMBER(SEARCH("REH",C5:C10)))=0,"",
"REH : "&amp;
IF(
SUMPRODUCT(--ISNUMBER(SEARCH("REH",C5:C10))*--ISNUMBER(SEARCH("Morning",C5:C10))*--ISERROR(SEARCH("Training",C5:C10)))&gt;0,
SUMPRODUCT(--ISNUMBER(SEARCH("REH",C5:C10))*--ISNUMBER(SEARCH("Morning",C5:C10))*--ISERROR(SEARCH("Training",C5:C10)))&amp;" M ","")&amp;
IF(
SUMPRODUCT(--ISNUMBER(SEARCH("REH",C5:C10))*--ISNUMBER(SEARCH("Between",C5:C10))*--ISERROR(SEARCH("Training",C5:C10)))&gt;0,
"- "&amp;SUMPRODUCT(--ISNUMBER(SEARCH("REH",C5:C10))*--ISNUMBER(SEARCH("Between",C5:C10))*--ISERROR(SEARCH("Training",C5:C10)))&amp;" B ","")&amp;
IF(
SUMPRODUCT(--ISNUMBER(SEARCH("REH",C5:C10))*--ISNUMBER(SEARCH("Night",C5:C10))*--ISERROR(SEARCH("Training",C5:C10)))&gt;0,
"- "&amp;SUMPRODUCT(--ISNUMBER(SEARCH("REH",C5:C10))*--ISNUMBER(SEARCH("Night",C5:C10))*--ISERROR(SEARCH("Training",C5:C10)))&amp;" N ","")&amp;
IF(
SUMPRODUCT(--ISNUMBER(SEARCH("REH",C5:C10))*--ISNUMBER(SEARCH("Training",C5:C10)))&gt;0,
"- "&amp;SUMPRODUCT(--ISNUMBER(SEARCH("REH",C5:C10))*--ISNUMBER(SEARCH("Training",C5:C10)))&amp;" T","")
)</f>
        <v xml:space="preserve">TRI : 1 M - 1 N    |   REH : 1 M - 1 N </v>
      </c>
      <c r="D11" s="22" t="str">
        <f t="shared" si="0"/>
        <v xml:space="preserve">TRI : 1 M - 1 N    |   REH : 1 M - 1 N </v>
      </c>
      <c r="E11" s="22" t="str">
        <f>IF(
SUMPRODUCT(--ISNUMBER(SEARCH("TRI",E6:E10)))=0,"",
"TRI : "&amp;
IF(
SUMPRODUCT(--ISNUMBER(SEARCH("TRI",E6:E10))*--ISNUMBER(SEARCH("Morning",E6:E10))*--ISERROR(SEARCH("Training",E6:E10)))&gt;0,
SUMPRODUCT(--ISNUMBER(SEARCH("TRI",E6:E10))*--ISNUMBER(SEARCH("Morning",E6:E10))*--ISERROR(SEARCH("Training",E6:E10)))&amp;" M ","")&amp;
IF(
SUMPRODUCT(--ISNUMBER(SEARCH("TRI",E6:E10))*--ISNUMBER(SEARCH("Between",E6:E10))*--ISERROR(SEARCH("Training",E6:E10)))&gt;0,
"- "&amp;SUMPRODUCT(--ISNUMBER(SEARCH("TRI",E6:E10))*--ISNUMBER(SEARCH("Between",E6:E10))*--ISERROR(SEARCH("Training",E6:E10)))&amp;" B ","")&amp;
IF(
SUMPRODUCT(--ISNUMBER(SEARCH("TRI",E6:E10))*--ISNUMBER(SEARCH("Night",E6:E10))*--ISERROR(SEARCH("Training",E6:E10)))&gt;0,
"- "&amp;SUMPRODUCT(--ISNUMBER(SEARCH("TRI",E6:E10))*--ISNUMBER(SEARCH("Night",E6:E10))*--ISERROR(SEARCH("Training",E6:E10)))&amp;" N ","")&amp;
IF(
SUMPRODUCT(--ISNUMBER(SEARCH("TRI",E6:E10))*--ISNUMBER(SEARCH("Training",E6:E10)))&gt;0,
"- "&amp;SUMPRODUCT(--ISNUMBER(SEARCH("TRI",E6:E10))*--ISNUMBER(SEARCH("Training",E6:E10)))&amp;" T","")
)
&amp;
IF(
AND(
SUMPRODUCT(--ISNUMBER(SEARCH("TRI",E6:E10)))&gt;0,
SUMPRODUCT(--ISNUMBER(SEARCH("REH",E6:E10)))&gt;0
),
"   |   ",""
)
&amp;
IF(
SUMPRODUCT(--ISNUMBER(SEARCH("REH",E6:E10)))=0,"",
"REH : "&amp;
IF(
SUMPRODUCT(--ISNUMBER(SEARCH("REH",E6:E10))*--ISNUMBER(SEARCH("Morning",E6:E10))*--ISERROR(SEARCH("Training",E6:E10)))&gt;0,
SUMPRODUCT(--ISNUMBER(SEARCH("REH",E6:E10))*--ISNUMBER(SEARCH("Morning",E6:E10))*--ISERROR(SEARCH("Training",E6:E10)))&amp;" M ","")&amp;
IF(
SUMPRODUCT(--ISNUMBER(SEARCH("REH",E6:E10))*--ISNUMBER(SEARCH("Between",E6:E10))*--ISERROR(SEARCH("Training",E6:E10)))&gt;0,
"- "&amp;SUMPRODUCT(--ISNUMBER(SEARCH("REH",E6:E10))*--ISNUMBER(SEARCH("Between",E6:E10))*--ISERROR(SEARCH("Training",E6:E10)))&amp;" B ","")&amp;
IF(
SUMPRODUCT(--ISNUMBER(SEARCH("REH",E6:E10))*--ISNUMBER(SEARCH("Night",E6:E10))*--ISERROR(SEARCH("Training",E6:E10)))&gt;0,
"- "&amp;SUMPRODUCT(--ISNUMBER(SEARCH("REH",E6:E10))*--ISNUMBER(SEARCH("Night",E6:E10))*--ISERROR(SEARCH("Training",E6:E10)))&amp;" N ","")&amp;
IF(
SUMPRODUCT(--ISNUMBER(SEARCH("REH",E6:E10))*--ISNUMBER(SEARCH("Training",E6:E10)))&gt;0,
"- "&amp;SUMPRODUCT(--ISNUMBER(SEARCH("REH",E6:E10))*--ISNUMBER(SEARCH("Training",E6:E10)))&amp;" T","")
)</f>
        <v xml:space="preserve">TRI : 1 M - 1 N    |   REH : 2 M - 1 N </v>
      </c>
      <c r="F11" s="22" t="str">
        <f>IF(
SUMPRODUCT(--ISNUMBER(SEARCH("TRI",F5:F9)))=0,"",
"TRI : "&amp;
IF(
SUMPRODUCT(--ISNUMBER(SEARCH("TRI",F5:F9))*--ISNUMBER(SEARCH("Morning",F5:F9))*--ISERROR(SEARCH("Training",F5:F9)))&gt;0,
SUMPRODUCT(--ISNUMBER(SEARCH("TRI",F5:F9))*--ISNUMBER(SEARCH("Morning",F5:F9))*--ISERROR(SEARCH("Training",F5:F9)))&amp;" M ","")&amp;
IF(
SUMPRODUCT(--ISNUMBER(SEARCH("TRI",F5:F9))*--ISNUMBER(SEARCH("Between",F5:F9))*--ISERROR(SEARCH("Training",F5:F9)))&gt;0,
"- "&amp;SUMPRODUCT(--ISNUMBER(SEARCH("TRI",F5:F9))*--ISNUMBER(SEARCH("Between",F5:F9))*--ISERROR(SEARCH("Training",F5:F9)))&amp;" B ","")&amp;
IF(
SUMPRODUCT(--ISNUMBER(SEARCH("TRI",F5:F9))*--ISNUMBER(SEARCH("Night",F5:F9))*--ISERROR(SEARCH("Training",F5:F9)))&gt;0,
"- "&amp;SUMPRODUCT(--ISNUMBER(SEARCH("TRI",F5:F9))*--ISNUMBER(SEARCH("Night",F5:F9))*--ISERROR(SEARCH("Training",F5:F9)))&amp;" N ","")&amp;
IF(
SUMPRODUCT(--ISNUMBER(SEARCH("TRI",F5:F9))*--ISNUMBER(SEARCH("Training",F5:F9)))&gt;0,
"- "&amp;SUMPRODUCT(--ISNUMBER(SEARCH("TRI",F5:F9))*--ISNUMBER(SEARCH("Training",F5:F9)))&amp;" T","")
)
&amp;
IF(
AND(
SUMPRODUCT(--ISNUMBER(SEARCH("TRI",F5:F9)))&gt;0,
SUMPRODUCT(--ISNUMBER(SEARCH("REH",F5:F9)))&gt;0
),
"   |   ",""
)
&amp;
IF(
SUMPRODUCT(--ISNUMBER(SEARCH("REH",F5:F9)))=0,"",
"REH : "&amp;
IF(
SUMPRODUCT(--ISNUMBER(SEARCH("REH",F5:F9))*--ISNUMBER(SEARCH("Morning",F5:F9))*--ISERROR(SEARCH("Training",F5:F9)))&gt;0,
SUMPRODUCT(--ISNUMBER(SEARCH("REH",F5:F9))*--ISNUMBER(SEARCH("Morning",F5:F9))*--ISERROR(SEARCH("Training",F5:F9)))&amp;" M ","")&amp;
IF(
SUMPRODUCT(--ISNUMBER(SEARCH("REH",F5:F9))*--ISNUMBER(SEARCH("Between",F5:F9))*--ISERROR(SEARCH("Training",F5:F9)))&gt;0,
"- "&amp;SUMPRODUCT(--ISNUMBER(SEARCH("REH",F5:F9))*--ISNUMBER(SEARCH("Between",F5:F9))*--ISERROR(SEARCH("Training",F5:F9)))&amp;" B ","")&amp;
IF(
SUMPRODUCT(--ISNUMBER(SEARCH("REH",F5:F9))*--ISNUMBER(SEARCH("Night",F5:F9))*--ISERROR(SEARCH("Training",F5:F9)))&gt;0,
"- "&amp;SUMPRODUCT(--ISNUMBER(SEARCH("REH",F5:F9))*--ISNUMBER(SEARCH("Night",F5:F9))*--ISERROR(SEARCH("Training",F5:F9)))&amp;" N ","")&amp;
IF(
SUMPRODUCT(--ISNUMBER(SEARCH("REH",F5:F9))*--ISNUMBER(SEARCH("Training",F5:F9)))&gt;0,
"- "&amp;SUMPRODUCT(--ISNUMBER(SEARCH("REH",F5:F9))*--ISNUMBER(SEARCH("Training",F5:F9)))&amp;" T","")
)</f>
        <v xml:space="preserve">TRI : 1 M - 1 N    |   REH : 1 M - 1 N </v>
      </c>
      <c r="G11" s="22" t="str">
        <f t="shared" si="0"/>
        <v xml:space="preserve">TRI : 1 M - 1 N    |   REH : 1 M - 1 N </v>
      </c>
      <c r="H11" s="22" t="str">
        <f t="shared" si="0"/>
        <v xml:space="preserve">TRI : 1 M - 1 N    |   REH : 1 M - 1 N </v>
      </c>
      <c r="I11" s="22" t="str">
        <f t="shared" si="0"/>
        <v xml:space="preserve">TRI : 1 M - 1 N    |   REH : 1 M - 1 N </v>
      </c>
      <c r="J11" s="22" t="str">
        <f t="shared" si="0"/>
        <v xml:space="preserve">TRI : 1 M - 1 N    |   REH : 1 M - 1 N </v>
      </c>
      <c r="K11" s="22" t="str">
        <f>IF(
SUMPRODUCT(--ISNUMBER(SEARCH("TRI",K5:K10)))=0,"",
"TRI : "&amp;
IF(
SUMPRODUCT(--ISNUMBER(SEARCH("TRI",K5:K10))*--ISNUMBER(SEARCH("Morning",K5:K10))*--ISERROR(SEARCH("Training",K5:K10)))&gt;0,
SUMPRODUCT(--ISNUMBER(SEARCH("TRI",K5:K10))*--ISNUMBER(SEARCH("Morning",K5:K10))*--ISERROR(SEARCH("Training",K5:K10)))&amp;" M ","")&amp;
IF(
SUMPRODUCT(--ISNUMBER(SEARCH("TRI",K5:K10))*--ISNUMBER(SEARCH("Between",K5:K10))*--ISERROR(SEARCH("Training",K5:K10)))&gt;0,
"- "&amp;SUMPRODUCT(--ISNUMBER(SEARCH("TRI",K5:K10))*--ISNUMBER(SEARCH("Between",K5:K10))*--ISERROR(SEARCH("Training",K5:K10)))&amp;" B ","")&amp;
IF(
SUMPRODUCT(--ISNUMBER(SEARCH("TRI",K5:K10))*--ISNUMBER(SEARCH("Night",K5:K10))*--ISERROR(SEARCH("Training",K5:K10)))&gt;0,
"- "&amp;SUMPRODUCT(--ISNUMBER(SEARCH("TRI",K5:K10))*--ISNUMBER(SEARCH("Night",K5:K10))*--ISERROR(SEARCH("Training",K5:K10)))&amp;" N ","")&amp;
IF(
SUMPRODUCT(--ISNUMBER(SEARCH("TRI",K5:K10))*--ISNUMBER(SEARCH("Training",K5:K10)))&gt;0,
"- "&amp;SUMPRODUCT(--ISNUMBER(SEARCH("TRI",K5:K10))*--ISNUMBER(SEARCH("Training",K5:K10)))&amp;" T","")
)
&amp;
IF(
AND(
SUMPRODUCT(--ISNUMBER(SEARCH("TRI",K5:K10)))&gt;0,
SUMPRODUCT(--ISNUMBER(SEARCH("REH",K5:K10)))&gt;0
),
"   |   ",""
)
&amp;
IF(
SUMPRODUCT(--ISNUMBER(SEARCH("REH",K5:K10)))=0,"",
"REH : "&amp;
IF(
SUMPRODUCT(--ISNUMBER(SEARCH("REH",K5:K10))*--ISNUMBER(SEARCH("Morning",K5:K10))*--ISERROR(SEARCH("Training",K5:K10)))&gt;0,
SUMPRODUCT(--ISNUMBER(SEARCH("REH",K5:K10))*--ISNUMBER(SEARCH("Morning",K5:K10))*--ISERROR(SEARCH("Training",K5:K10)))&amp;" M ","")&amp;
IF(
SUMPRODUCT(--ISNUMBER(SEARCH("REH",K5:K10))*--ISNUMBER(SEARCH("Between",K5:K10))*--ISERROR(SEARCH("Training",K5:K10)))&gt;0,
"- "&amp;SUMPRODUCT(--ISNUMBER(SEARCH("REH",K5:K10))*--ISNUMBER(SEARCH("Between",K5:K10))*--ISERROR(SEARCH("Training",K5:K10)))&amp;" B ","")&amp;
IF(
SUMPRODUCT(--ISNUMBER(SEARCH("REH",K5:K10))*--ISNUMBER(SEARCH("Night",K5:K10))*--ISERROR(SEARCH("Training",K5:K10)))&gt;0,
"- "&amp;SUMPRODUCT(--ISNUMBER(SEARCH("REH",K5:K10))*--ISNUMBER(SEARCH("Night",K5:K10))*--ISERROR(SEARCH("Training",K5:K10)))&amp;" N ","")&amp;
IF(
SUMPRODUCT(--ISNUMBER(SEARCH("REH",K5:K10))*--ISNUMBER(SEARCH("Training",K5:K10)))&gt;0,
"- "&amp;SUMPRODUCT(--ISNUMBER(SEARCH("REH",K5:K10))*--ISNUMBER(SEARCH("Training",K5:K10)))&amp;" T","")
)</f>
        <v/>
      </c>
    </row>
    <row r="12" spans="1:13" x14ac:dyDescent="0.25">
      <c r="B12" s="26" t="s">
        <v>23</v>
      </c>
    </row>
  </sheetData>
  <sheetProtection autoFilter="0"/>
  <autoFilter ref="B3:B12" xr:uid="{84F938A2-05CE-4D72-8E8F-C4661814570E}"/>
  <mergeCells count="3">
    <mergeCell ref="A11:B11"/>
    <mergeCell ref="A1:B1"/>
    <mergeCell ref="A3:B3"/>
  </mergeCells>
  <phoneticPr fontId="6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FDD5-D563-46BF-801F-4E7A178F21D8}">
  <dimension ref="A2:A7"/>
  <sheetViews>
    <sheetView workbookViewId="0">
      <selection activeCell="A2" sqref="A2:A7"/>
    </sheetView>
  </sheetViews>
  <sheetFormatPr defaultRowHeight="15" x14ac:dyDescent="0.25"/>
  <cols>
    <col min="1" max="1" width="38.85546875" customWidth="1"/>
  </cols>
  <sheetData>
    <row r="2" spans="1:1" ht="39.75" x14ac:dyDescent="0.25">
      <c r="A2" s="4" t="s">
        <v>14</v>
      </c>
    </row>
    <row r="3" spans="1:1" ht="39.75" x14ac:dyDescent="0.25">
      <c r="A3" s="4" t="s">
        <v>9</v>
      </c>
    </row>
    <row r="4" spans="1:1" ht="39.75" x14ac:dyDescent="0.25">
      <c r="A4" s="4" t="s">
        <v>10</v>
      </c>
    </row>
    <row r="5" spans="1:1" ht="39.75" x14ac:dyDescent="0.25">
      <c r="A5" s="4" t="s">
        <v>11</v>
      </c>
    </row>
    <row r="6" spans="1:1" ht="39.75" x14ac:dyDescent="0.25">
      <c r="A6" s="4" t="s">
        <v>12</v>
      </c>
    </row>
    <row r="7" spans="1:1" ht="39.75" x14ac:dyDescent="0.25">
      <c r="A7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 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Moamen Bahaa</dc:creator>
  <cp:lastModifiedBy>Moamen Bahaa</cp:lastModifiedBy>
  <dcterms:created xsi:type="dcterms:W3CDTF">2024-06-12T12:40:25Z</dcterms:created>
  <dcterms:modified xsi:type="dcterms:W3CDTF">2026-10-21T18:15:13Z</dcterms:modified>
</cp:coreProperties>
</file>