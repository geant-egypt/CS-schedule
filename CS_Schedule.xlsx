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 defaultThemeVersion="166925"/>
  <xr:revisionPtr revIDLastSave="0" documentId="8_{D4FA6801-7FCF-4C28-8504-803FC5A98CA6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 18-10-2026 till 24-10-2026" sheetId="3" r:id="rId1"/>
    <sheet name="25-10-2026 till 31-10-2026" sheetId="4" r:id="rId2"/>
  </sheets>
  <definedNames>
    <definedName name="_xlnm._FilterDatabase" localSheetId="0" hidden="1">' 18-10-2026 till 24-10-2026'!$A$4:$B$10</definedName>
    <definedName name="_xlnm._FilterDatabase" localSheetId="1" hidden="1">'25-10-2026 till 31-10-2026'!$A$4:$B$10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13" i="3" l="1" a="1"/>
  <c r="J13" i="3" a="1"/>
  <c r="I13" i="3" a="1"/>
  <c r="H13" i="3" a="1"/>
  <c r="G13" i="3" a="1"/>
  <c r="F13" i="3" a="1"/>
  <c r="E13" i="3" a="1"/>
  <c r="D13" i="3" a="1"/>
  <c r="C13" i="3" a="1"/>
  <c r="C11" i="4" a="1"/>
  <c r="D11" i="4" a="1"/>
  <c r="E11" i="4" a="1"/>
  <c r="F11" i="4" a="1"/>
  <c r="G11" i="4" a="1"/>
  <c r="H11" i="4" a="1"/>
  <c r="I11" i="4" a="1"/>
  <c r="J11" i="4" a="1"/>
  <c r="K11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<sst xmlns="http://schemas.openxmlformats.org/spreadsheetml/2006/main" count="191" uniqueCount="37">
  <si>
    <t> </t>
  </si>
  <si>
    <t>Saturday</t>
  </si>
  <si>
    <t>Sunday</t>
  </si>
  <si>
    <t>Monday</t>
  </si>
  <si>
    <t>Tuesday</t>
  </si>
  <si>
    <t>Wednesday</t>
  </si>
  <si>
    <t>Thursday</t>
  </si>
  <si>
    <t>Friday</t>
  </si>
  <si>
    <t>Customer Service Department Schedule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</si>
  <si>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</si>
  <si>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</si>
  <si>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</si>
  <si>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</si>
  <si>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</si>
  <si>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</si>
  <si>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</si>
  <si>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</si>
  <si>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ID</t>
  </si>
  <si>
    <r>
      <t>Moamen Bahaa El Din</t>
    </r>
    <r>
      <rPr>
        <b/>
        <sz val="9"/>
        <color rgb="FFC00000"/>
        <rFont val="Agency FB"/>
        <family val="2"/>
      </rPr>
      <t xml:space="preserve">
Customer Service Manager</t>
    </r>
    <r>
      <rPr>
        <b/>
        <sz val="9"/>
        <color rgb="FF808080"/>
        <rFont val="Agency FB"/>
        <family val="2"/>
      </rPr>
      <t xml:space="preserve">
011 50560001</t>
    </r>
  </si>
  <si>
    <t>OFF</t>
  </si>
  <si>
    <r>
      <t>8 AM -5 PM</t>
    </r>
    <r>
      <rPr>
        <b/>
        <sz val="8"/>
        <color rgb="FF808080"/>
        <rFont val="Tahoma"/>
        <family val="2"/>
      </rPr>
      <t xml:space="preserve">
Morning</t>
    </r>
    <r>
      <rPr>
        <b/>
        <sz val="8"/>
        <rFont val="Tahoma"/>
        <family val="2"/>
      </rPr>
      <t xml:space="preserve">
(</t>
    </r>
    <r>
      <rPr>
        <b/>
        <sz val="8"/>
        <color rgb="FFFF0000"/>
        <rFont val="Tahoma"/>
        <family val="2"/>
      </rPr>
      <t>REH</t>
    </r>
    <r>
      <rPr>
        <b/>
        <sz val="8"/>
        <rFont val="Tahoma"/>
        <family val="2"/>
      </rPr>
      <t>)</t>
    </r>
  </si>
  <si>
    <r>
      <t>4 PM - 1 AM</t>
    </r>
    <r>
      <rPr>
        <b/>
        <sz val="8"/>
        <color rgb="FF808080"/>
        <rFont val="Tahoma"/>
        <family val="2"/>
      </rPr>
      <t xml:space="preserve">
Night</t>
    </r>
    <r>
      <rPr>
        <b/>
        <sz val="8"/>
        <rFont val="Tahoma"/>
        <family val="2"/>
      </rPr>
      <t xml:space="preserve">
(</t>
    </r>
    <r>
      <rPr>
        <b/>
        <sz val="8"/>
        <color rgb="FFFF0000"/>
        <rFont val="Tahoma"/>
        <family val="2"/>
      </rPr>
      <t>REH</t>
    </r>
    <r>
      <rPr>
        <b/>
        <sz val="8"/>
        <rFont val="Tahoma"/>
        <family val="2"/>
      </rPr>
      <t>)</t>
    </r>
  </si>
  <si>
    <r>
      <t>Karim Shawky</t>
    </r>
    <r>
      <rPr>
        <b/>
        <sz val="9"/>
        <color rgb="FFFF0000"/>
        <rFont val="Agency FB"/>
        <family val="2"/>
      </rPr>
      <t xml:space="preserve">
CS Supervisor</t>
    </r>
    <r>
      <rPr>
        <b/>
        <sz val="9"/>
        <color rgb="FF808080"/>
        <rFont val="Agency FB"/>
        <family val="2"/>
      </rPr>
      <t xml:space="preserve">
010 70027752</t>
    </r>
  </si>
  <si>
    <r>
      <t>8 AM - 5 PM</t>
    </r>
    <r>
      <rPr>
        <b/>
        <sz val="8"/>
        <color rgb="FF808080"/>
        <rFont val="Tahoma"/>
        <family val="2"/>
      </rPr>
      <t xml:space="preserve">
Morning</t>
    </r>
    <r>
      <rPr>
        <b/>
        <sz val="8"/>
        <rFont val="Tahoma"/>
        <family val="2"/>
      </rPr>
      <t xml:space="preserve">
(</t>
    </r>
    <r>
      <rPr>
        <b/>
        <sz val="8"/>
        <color rgb="FF00B050"/>
        <rFont val="Tahoma"/>
        <family val="2"/>
      </rPr>
      <t>TRI</t>
    </r>
    <r>
      <rPr>
        <b/>
        <sz val="8"/>
        <rFont val="Tahoma"/>
        <family val="2"/>
      </rPr>
      <t>)</t>
    </r>
  </si>
  <si>
    <r>
      <rPr>
        <b/>
        <sz val="9"/>
        <color rgb="FF000000"/>
        <rFont val="Agency FB"/>
      </rPr>
      <t xml:space="preserve">Mohamed Tamer
</t>
    </r>
    <r>
      <rPr>
        <b/>
        <sz val="9"/>
        <color rgb="FFFF0000"/>
        <rFont val="Agency FB"/>
      </rPr>
      <t xml:space="preserve">CS Supervisor
</t>
    </r>
    <r>
      <rPr>
        <b/>
        <sz val="9"/>
        <color rgb="FF808080"/>
        <rFont val="Agency FB"/>
      </rPr>
      <t>010 59775384</t>
    </r>
  </si>
  <si>
    <t>Add OFF</t>
  </si>
  <si>
    <r>
      <t>Abd Allah Mosaad</t>
    </r>
    <r>
      <rPr>
        <b/>
        <sz val="9"/>
        <color rgb="FFFF0000"/>
        <rFont val="Agency FB"/>
        <family val="2"/>
      </rPr>
      <t xml:space="preserve">
CS Coordinator</t>
    </r>
    <r>
      <rPr>
        <b/>
        <sz val="9"/>
        <color rgb="FF808080"/>
        <rFont val="Agency FB"/>
        <family val="2"/>
      </rPr>
      <t xml:space="preserve">
011 55906362 </t>
    </r>
  </si>
  <si>
    <r>
      <t>4 PM - 1 AM</t>
    </r>
    <r>
      <rPr>
        <b/>
        <sz val="8"/>
        <color rgb="FF808080"/>
        <rFont val="Tahoma"/>
        <family val="2"/>
      </rPr>
      <t xml:space="preserve">
Night</t>
    </r>
    <r>
      <rPr>
        <b/>
        <sz val="8"/>
        <rFont val="Tahoma"/>
        <family val="2"/>
      </rPr>
      <t xml:space="preserve">
(</t>
    </r>
    <r>
      <rPr>
        <b/>
        <sz val="8"/>
        <color rgb="FF00B050"/>
        <rFont val="Tahoma"/>
        <family val="2"/>
      </rPr>
      <t>TRI</t>
    </r>
    <r>
      <rPr>
        <b/>
        <sz val="8"/>
        <rFont val="Tahoma"/>
        <family val="2"/>
      </rPr>
      <t>)</t>
    </r>
  </si>
  <si>
    <r>
      <t>Amr Yasser</t>
    </r>
    <r>
      <rPr>
        <b/>
        <sz val="9"/>
        <color rgb="FFFF0000"/>
        <rFont val="Agency FB"/>
        <family val="2"/>
      </rPr>
      <t xml:space="preserve">
CS Coordinator</t>
    </r>
    <r>
      <rPr>
        <b/>
        <sz val="9"/>
        <color rgb="FF808080"/>
        <rFont val="Agency FB"/>
        <family val="2"/>
      </rPr>
      <t xml:space="preserve">
010 90329623 </t>
    </r>
  </si>
  <si>
    <r>
      <t>Ahmed Yasser</t>
    </r>
    <r>
      <rPr>
        <b/>
        <sz val="9"/>
        <color rgb="FFFF0000"/>
        <rFont val="Agency FB"/>
        <family val="2"/>
      </rPr>
      <t xml:space="preserve">
CS Coordinator</t>
    </r>
    <r>
      <rPr>
        <b/>
        <sz val="9"/>
        <color rgb="FF808080"/>
        <rFont val="Agency FB"/>
        <family val="2"/>
      </rPr>
      <t xml:space="preserve">
01159586006</t>
    </r>
  </si>
  <si>
    <t>H.C:      4</t>
  </si>
  <si>
    <t>Need Cover</t>
  </si>
  <si>
    <r>
      <rPr>
        <b/>
        <sz val="9"/>
        <color rgb="FF000000"/>
        <rFont val="Tahoma"/>
      </rPr>
      <t xml:space="preserve">12 PM - 9 PM
</t>
    </r>
    <r>
      <rPr>
        <b/>
        <sz val="9"/>
        <color rgb="FF666666"/>
        <rFont val="Tahoma"/>
      </rPr>
      <t>Between
(</t>
    </r>
    <r>
      <rPr>
        <b/>
        <sz val="9"/>
        <color rgb="FF34A853"/>
        <rFont val="Tahoma"/>
      </rPr>
      <t>TRI</t>
    </r>
    <r>
      <rPr>
        <b/>
        <sz val="9"/>
        <color rgb="FF000000"/>
        <rFont val="Tahoma"/>
      </rPr>
      <t>)</t>
    </r>
  </si>
  <si>
    <r>
      <t>4 PM - 1 AM
Night
(</t>
    </r>
    <r>
      <rPr>
        <b/>
        <sz val="9"/>
        <color rgb="FF34A853"/>
        <rFont val="Tahoma"/>
        <charset val="1"/>
      </rPr>
      <t>TRI</t>
    </r>
    <r>
      <rPr>
        <b/>
        <sz val="9"/>
        <color theme="1"/>
        <rFont val="Tahoma"/>
        <charset val="1"/>
      </rPr>
      <t>)</t>
    </r>
  </si>
  <si>
    <r>
      <rPr>
        <b/>
        <sz val="9"/>
        <color rgb="FF000000"/>
        <rFont val="Tahoma"/>
      </rPr>
      <t xml:space="preserve">8 AM -5 PM
</t>
    </r>
    <r>
      <rPr>
        <b/>
        <sz val="9"/>
        <color rgb="FF666666"/>
        <rFont val="Tahoma"/>
      </rPr>
      <t>Morning
(</t>
    </r>
    <r>
      <rPr>
        <b/>
        <sz val="9"/>
        <color rgb="FFFF0000"/>
        <rFont val="Tahoma"/>
      </rPr>
      <t>REH</t>
    </r>
    <r>
      <rPr>
        <b/>
        <sz val="9"/>
        <color rgb="FF000000"/>
        <rFont val="Tahoma"/>
      </rPr>
      <t>)</t>
    </r>
  </si>
  <si>
    <r>
      <rPr>
        <b/>
        <sz val="9"/>
        <color rgb="FF000000"/>
        <rFont val="Tahoma"/>
      </rPr>
      <t xml:space="preserve">12 PM - 9 PM
</t>
    </r>
    <r>
      <rPr>
        <b/>
        <sz val="9"/>
        <color rgb="FF666666"/>
        <rFont val="Tahoma"/>
      </rPr>
      <t>Between
(</t>
    </r>
    <r>
      <rPr>
        <b/>
        <sz val="9"/>
        <color rgb="FFFF0000"/>
        <rFont val="Tahoma"/>
      </rPr>
      <t>REH</t>
    </r>
    <r>
      <rPr>
        <b/>
        <sz val="9"/>
        <color rgb="FF000000"/>
        <rFont val="Tahoma"/>
      </rPr>
      <t>)</t>
    </r>
  </si>
  <si>
    <r>
      <rPr>
        <b/>
        <sz val="9"/>
        <color rgb="FF000000"/>
        <rFont val="Tahoma"/>
      </rPr>
      <t xml:space="preserve">4 PM - 1 AM
</t>
    </r>
    <r>
      <rPr>
        <b/>
        <sz val="9"/>
        <color rgb="FF666666"/>
        <rFont val="Tahoma"/>
      </rPr>
      <t>Night
(</t>
    </r>
    <r>
      <rPr>
        <b/>
        <sz val="9"/>
        <color rgb="FFFF0000"/>
        <rFont val="Tahoma"/>
      </rPr>
      <t>REH</t>
    </r>
    <r>
      <rPr>
        <b/>
        <sz val="9"/>
        <color rgb="FF000000"/>
        <rFont val="Tahoma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</si>
</sst>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1">
    <font>
      <sz val="11"/>
      <color theme="1"/>
      <name val="Calibri"/>
      <family val="2"/>
      <scheme val="minor"/>
    </font>
    <font>
      <b/>
      <sz val="9"/>
      <name val="Tahoma"/>
      <family val="2"/>
    </font>
    <font>
      <sz val="8"/>
      <color rgb="FFFFFFFF"/>
      <name val="Calibri"/>
      <family val="2"/>
    </font>
    <font>
      <b/>
      <sz val="8"/>
      <color rgb="FFFFFFFF"/>
      <name val="Tahoma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9"/>
      <color rgb="FFFFFFFF"/>
      <name val="Agency FB"/>
      <family val="2"/>
    </font>
    <font>
      <b/>
      <sz val="9"/>
      <color rgb="FFFFFFFF"/>
      <name val="Tahoma"/>
      <family val="2"/>
    </font>
    <font>
      <b/>
      <sz val="9"/>
      <color rgb="FF000000"/>
      <name val="Agency FB"/>
      <family val="2"/>
    </font>
    <font>
      <b/>
      <sz val="9"/>
      <color rgb="FFC00000"/>
      <name val="Agency FB"/>
      <family val="2"/>
    </font>
    <font>
      <b/>
      <sz val="9"/>
      <color rgb="FF808080"/>
      <name val="Agency FB"/>
      <family val="2"/>
    </font>
    <font>
      <b/>
      <sz val="9"/>
      <color rgb="FFFF0000"/>
      <name val="Agency FB"/>
      <family val="2"/>
    </font>
    <font>
      <b/>
      <sz val="9"/>
      <color rgb="FF000000"/>
      <name val="Agency FB"/>
    </font>
    <font>
      <b/>
      <sz val="9"/>
      <color rgb="FFFF0000"/>
      <name val="Agency FB"/>
    </font>
    <font>
      <b/>
      <sz val="9"/>
      <color rgb="FF808080"/>
      <name val="Agency FB"/>
    </font>
    <font>
      <b/>
      <sz val="9"/>
      <color rgb="FFFFFFFF"/>
      <name val="Calibri"/>
      <family val="2"/>
    </font>
    <font>
      <b/>
      <sz val="8"/>
      <color rgb="FF000000"/>
      <name val="Calibri"/>
      <family val="2"/>
    </font>
    <font>
      <b/>
      <sz val="8"/>
      <color rgb="FF222B35"/>
      <name val="Tahoma"/>
      <family val="2"/>
    </font>
    <font>
      <b/>
      <sz val="8"/>
      <name val="Tahoma"/>
      <family val="2"/>
    </font>
    <font>
      <b/>
      <sz val="8"/>
      <color rgb="FF808080"/>
      <name val="Tahoma"/>
      <family val="2"/>
    </font>
    <font>
      <b/>
      <sz val="8"/>
      <color rgb="FFFF0000"/>
      <name val="Tahoma"/>
      <family val="2"/>
    </font>
    <font>
      <b/>
      <sz val="8"/>
      <color rgb="FF00B050"/>
      <name val="Tahoma"/>
      <family val="2"/>
    </font>
    <font>
      <b/>
      <u/>
      <sz val="8"/>
      <color rgb="FF222B35"/>
      <name val="Tahoma"/>
      <family val="2"/>
    </font>
    <font>
      <b/>
      <sz val="9"/>
      <color rgb="FF34A853"/>
      <name val="Tahoma"/>
      <charset val="1"/>
    </font>
    <font>
      <b/>
      <sz val="9"/>
      <color theme="1"/>
      <name val="Tahoma"/>
      <charset val="1"/>
    </font>
    <font>
      <b/>
      <sz val="9"/>
      <color rgb="FF000000"/>
      <name val="Tahoma"/>
    </font>
    <font>
      <b/>
      <sz val="9"/>
      <color rgb="FF34A853"/>
      <name val="Tahoma"/>
    </font>
    <font>
      <b/>
      <sz val="9"/>
      <color theme="1"/>
      <name val="Tahoma"/>
    </font>
    <font>
      <b/>
      <sz val="9"/>
      <color rgb="FF666666"/>
      <name val="Tahoma"/>
    </font>
    <font>
      <b/>
      <sz val="9"/>
      <color rgb="FFFF0000"/>
      <name val="Tahoma"/>
    </font>
  </fonts>
  <fills count="13">
    <fill>
      <patternFill patternType="none"/>
    </fill>
    <fill>
      <patternFill patternType="gray125"/>
    </fill>
    <fill>
      <patternFill patternType="solid">
        <fgColor rgb="FFC00000"/>
        <bgColor rgb="FF000000"/>
      </patternFill>
    </fill>
    <fill>
      <patternFill patternType="solid">
        <fgColor rgb="FFFCEBD8"/>
        <bgColor rgb="FF000000"/>
      </patternFill>
    </fill>
    <fill>
      <patternFill patternType="solid">
        <fgColor rgb="FFFFFFFF"/>
        <bgColor rgb="FF000000"/>
      </patternFill>
    </fill>
    <fill>
      <patternFill patternType="lightUp">
        <fgColor rgb="FF000000"/>
        <bgColor rgb="FF808080"/>
      </patternFill>
    </fill>
    <fill>
      <patternFill patternType="solid">
        <fgColor rgb="FFFFD1D1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00000"/>
        <bgColor rgb="FF000000"/>
      </patternFill>
    </fill>
    <fill>
      <patternFill patternType="solid">
        <fgColor rgb="FF74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D1D1"/>
        <bgColor indexed="64"/>
      </patternFill>
    </fill>
  </fills>
  <borders count="33">
    <border>
      <left/>
      <right/>
      <top/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rgb="FF000000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10" borderId="11" xfId="0" applyFont="1" applyFill="1" applyBorder="1" applyAlignment="1">
      <alignment horizontal="center" vertical="center" wrapText="1"/>
    </xf>
    <xf numFmtId="0" fontId="5" fillId="8" borderId="0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7" fillId="9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10" borderId="20" xfId="0" applyFont="1" applyFill="1" applyBorder="1" applyAlignment="1">
      <alignment horizontal="center" vertical="center" wrapText="1"/>
    </xf>
    <xf numFmtId="0" fontId="8" fillId="10" borderId="0" xfId="0" applyFont="1" applyFill="1" applyBorder="1" applyAlignment="1">
      <alignment horizontal="center" vertical="center" wrapText="1"/>
    </xf>
    <xf numFmtId="0" fontId="8" fillId="10" borderId="21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center" vertical="center" wrapText="1"/>
    </xf>
    <xf numFmtId="0" fontId="18" fillId="5" borderId="10" xfId="0" applyFont="1" applyFill="1" applyBorder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3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 vertical="center" wrapText="1"/>
    </xf>
    <xf numFmtId="0" fontId="9" fillId="3" borderId="26" xfId="0" applyFont="1" applyFill="1" applyBorder="1" applyAlignment="1">
      <alignment horizontal="center" vertical="center" wrapText="1"/>
    </xf>
    <xf numFmtId="0" fontId="9" fillId="3" borderId="2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164" fontId="7" fillId="2" borderId="19" xfId="0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vertical="center"/>
    </xf>
    <xf numFmtId="0" fontId="19" fillId="4" borderId="28" xfId="0" applyFont="1" applyFill="1" applyBorder="1" applyAlignment="1">
      <alignment horizontal="center" vertical="center" wrapText="1"/>
    </xf>
    <xf numFmtId="0" fontId="25" fillId="11" borderId="29" xfId="0" applyFont="1" applyFill="1" applyBorder="1" applyAlignment="1">
      <alignment horizontal="center" vertical="center" wrapText="1" readingOrder="1"/>
    </xf>
    <xf numFmtId="0" fontId="28" fillId="0" borderId="29" xfId="0" applyFont="1" applyBorder="1" applyAlignment="1">
      <alignment horizontal="center" vertical="center" wrapText="1" readingOrder="1"/>
    </xf>
    <xf numFmtId="0" fontId="28" fillId="12" borderId="29" xfId="0" applyFont="1" applyFill="1" applyBorder="1" applyAlignment="1">
      <alignment horizontal="center" vertical="center" wrapText="1" readingOrder="1"/>
    </xf>
    <xf numFmtId="0" fontId="18" fillId="5" borderId="28" xfId="0" applyFont="1" applyFill="1" applyBorder="1" applyAlignment="1">
      <alignment horizontal="center" vertical="center" wrapText="1"/>
    </xf>
    <xf numFmtId="0" fontId="23" fillId="5" borderId="28" xfId="0" applyFont="1" applyFill="1" applyBorder="1" applyAlignment="1">
      <alignment horizontal="center" vertical="center" wrapText="1"/>
    </xf>
    <xf numFmtId="0" fontId="19" fillId="6" borderId="28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1524000</xdr:colOff>
      <xdr:row>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8B005A-EEB6-43E2-8874-8ABD620B3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09750" cy="19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1524000</xdr:colOff>
      <xdr:row>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128C45-B338-497F-9D02-729AF7394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09750" cy="19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8D809-9786-499F-AF9A-EA992E04D509}">
  <dimension ref="A1:N20"/>
  <sheetViews>
    <sheetView workbookViewId="0">
      <selection activeCell="F9" sqref="F9"/>
    </sheetView>
  </sheetViews>
  <sheetFormatPr defaultColWidth="17.42578125" defaultRowHeight="12"/>
  <cols>
    <col min="1" max="1" width="4.28515625" style="6" bestFit="1" customWidth="1"/>
    <col min="2" max="2" width="23.28515625" style="6" customWidth="1"/>
    <col min="3" max="10" width="18.5703125" style="6" customWidth="1"/>
    <col min="11" max="11" width="1.42578125" style="6" customWidth="1"/>
    <col min="12" max="16384" width="17.42578125" style="6"/>
  </cols>
  <sheetData>
    <row r="1" spans="1:14" ht="5.25" customHeight="1">
      <c r="A1" s="58"/>
      <c r="B1" s="58"/>
      <c r="C1" s="2" t="s">
        <v>0</v>
      </c>
      <c r="D1" s="3" t="s">
        <v>0</v>
      </c>
      <c r="E1" s="2" t="s">
        <v>0</v>
      </c>
      <c r="F1" s="3" t="s">
        <v>0</v>
      </c>
      <c r="G1" s="2" t="s">
        <v>0</v>
      </c>
      <c r="H1" s="3" t="s">
        <v>0</v>
      </c>
      <c r="I1" s="3" t="s">
        <v>0</v>
      </c>
      <c r="J1" s="2" t="s">
        <v>0</v>
      </c>
      <c r="K1" s="4"/>
      <c r="L1" s="5"/>
      <c r="M1" s="5"/>
      <c r="N1" s="5"/>
    </row>
    <row r="2" spans="1:14" ht="9.75" customHeight="1">
      <c r="A2" s="4"/>
      <c r="B2" s="4"/>
      <c r="C2" s="7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1</v>
      </c>
      <c r="K2" s="9" t="s">
        <v>0</v>
      </c>
      <c r="L2" s="5"/>
      <c r="M2" s="5"/>
      <c r="N2" s="5"/>
    </row>
    <row r="3" spans="1:14" ht="9.75" customHeight="1">
      <c r="A3" s="59" t="s">
        <v>8</v>
      </c>
      <c r="B3" s="60"/>
      <c r="C3" s="10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2" t="s">
        <v>0</v>
      </c>
      <c r="L3" s="5"/>
      <c r="M3" s="5"/>
      <c r="N3" s="5"/>
    </row>
    <row r="4" spans="1:14" ht="6.75" customHeight="1">
      <c r="A4" s="1" t="s">
        <v>17</v>
      </c>
      <c r="B4" s="13" t="s">
        <v>0</v>
      </c>
      <c r="C4" s="14" t="s">
        <v>0</v>
      </c>
      <c r="D4" s="14" t="s">
        <v>0</v>
      </c>
      <c r="E4" s="14" t="s">
        <v>0</v>
      </c>
      <c r="F4" s="14" t="s">
        <v>0</v>
      </c>
      <c r="G4" s="15" t="s">
        <v>0</v>
      </c>
      <c r="H4" s="14" t="s">
        <v>0</v>
      </c>
      <c r="I4" s="14" t="s">
        <v>0</v>
      </c>
      <c r="J4" s="14" t="s">
        <v>0</v>
      </c>
      <c r="K4" s="12" t="s">
        <v>0</v>
      </c>
      <c r="L4" s="5"/>
      <c r="M4" s="5"/>
      <c r="N4" s="5"/>
    </row>
    <row r="5" spans="1:14" ht="34.5" customHeight="1">
      <c r="A5" s="40">
        <v>10349</v>
      </c>
      <c r="B5" s="43" t="s">
        <v>18</v>
      </c>
      <c r="C5" s="26" t="s">
        <v>19</v>
      </c>
      <c r="D5" s="23" t="s">
        <v>20</v>
      </c>
      <c r="E5" s="24" t="s">
        <v>20</v>
      </c>
      <c r="F5" s="25"/>
      <c r="G5" s="23" t="s">
        <v>21</v>
      </c>
      <c r="H5" s="24" t="s">
        <v>21</v>
      </c>
      <c r="I5" s="22" t="s">
        <v>19</v>
      </c>
      <c r="J5" s="26" t="s">
        <v>19</v>
      </c>
      <c r="K5" s="12" t="s">
        <v>0</v>
      </c>
      <c r="L5" s="5"/>
      <c r="M5" s="5"/>
      <c r="N5" s="5"/>
    </row>
    <row r="6" spans="1:14" ht="34.5" customHeight="1">
      <c r="A6" s="40">
        <v>10381</v>
      </c>
      <c r="B6" s="43" t="s">
        <v>22</v>
      </c>
      <c r="C6" s="29" t="s">
        <v>23</v>
      </c>
      <c r="D6" s="28" t="s">
        <v>23</v>
      </c>
      <c r="E6" s="28" t="s">
        <v>23</v>
      </c>
      <c r="F6" s="29" t="s">
        <v>23</v>
      </c>
      <c r="G6" s="28" t="s">
        <v>23</v>
      </c>
      <c r="H6" s="30" t="s">
        <v>23</v>
      </c>
      <c r="I6" s="31" t="s">
        <v>19</v>
      </c>
      <c r="J6" s="27" t="s">
        <v>23</v>
      </c>
      <c r="K6" s="17" t="s">
        <v>0</v>
      </c>
      <c r="L6" s="5"/>
      <c r="M6" s="5"/>
      <c r="N6" s="5"/>
    </row>
    <row r="7" spans="1:14" ht="34.5" customHeight="1">
      <c r="A7" s="40">
        <v>10542</v>
      </c>
      <c r="B7" s="43" t="s">
        <v>24</v>
      </c>
      <c r="C7" s="25"/>
      <c r="D7" s="32" t="s">
        <v>25</v>
      </c>
      <c r="E7" s="33" t="s">
        <v>20</v>
      </c>
      <c r="F7" s="34" t="s">
        <v>20</v>
      </c>
      <c r="G7" s="34" t="s">
        <v>20</v>
      </c>
      <c r="H7" s="24" t="s">
        <v>20</v>
      </c>
      <c r="I7" s="24" t="s">
        <v>20</v>
      </c>
      <c r="J7" s="22" t="s">
        <v>19</v>
      </c>
      <c r="K7" s="12" t="s">
        <v>0</v>
      </c>
      <c r="L7" s="5"/>
      <c r="M7" s="5"/>
      <c r="N7" s="5"/>
    </row>
    <row r="8" spans="1:14" ht="34.5" customHeight="1">
      <c r="A8" s="41">
        <v>10827</v>
      </c>
      <c r="B8" s="43" t="s">
        <v>26</v>
      </c>
      <c r="C8" s="29" t="s">
        <v>27</v>
      </c>
      <c r="D8" s="35" t="s">
        <v>21</v>
      </c>
      <c r="E8" s="28" t="s">
        <v>27</v>
      </c>
      <c r="F8" s="28" t="s">
        <v>27</v>
      </c>
      <c r="G8" s="28" t="s">
        <v>27</v>
      </c>
      <c r="H8" s="26" t="s">
        <v>19</v>
      </c>
      <c r="I8" s="36" t="s">
        <v>23</v>
      </c>
      <c r="J8" s="24" t="s">
        <v>20</v>
      </c>
      <c r="K8" s="17" t="s">
        <v>0</v>
      </c>
      <c r="L8" s="5"/>
      <c r="M8" s="5"/>
      <c r="N8" s="5"/>
    </row>
    <row r="9" spans="1:14" ht="34.5" customHeight="1">
      <c r="A9" s="41">
        <v>10868</v>
      </c>
      <c r="B9" s="39" t="s">
        <v>28</v>
      </c>
      <c r="C9" s="34" t="s">
        <v>20</v>
      </c>
      <c r="D9" s="29" t="s">
        <v>27</v>
      </c>
      <c r="E9" s="34" t="s">
        <v>21</v>
      </c>
      <c r="F9" s="34" t="s">
        <v>21</v>
      </c>
      <c r="G9" s="22" t="s">
        <v>19</v>
      </c>
      <c r="H9" s="27" t="s">
        <v>27</v>
      </c>
      <c r="I9" s="28" t="s">
        <v>27</v>
      </c>
      <c r="J9" s="28" t="s">
        <v>27</v>
      </c>
      <c r="K9" s="17" t="s">
        <v>0</v>
      </c>
      <c r="L9" s="5"/>
      <c r="M9" s="5"/>
      <c r="N9" s="5"/>
    </row>
    <row r="10" spans="1:14" ht="34.5" customHeight="1">
      <c r="A10" s="41" t="s">
        <v>0</v>
      </c>
      <c r="B10" s="44" t="s">
        <v>29</v>
      </c>
      <c r="C10" s="42" t="s">
        <v>0</v>
      </c>
      <c r="D10" s="37" t="s">
        <v>0</v>
      </c>
      <c r="E10" s="37" t="s">
        <v>0</v>
      </c>
      <c r="F10" s="37" t="s">
        <v>0</v>
      </c>
      <c r="G10" s="37" t="s">
        <v>0</v>
      </c>
      <c r="H10" s="37" t="s">
        <v>0</v>
      </c>
      <c r="I10" s="33" t="s">
        <v>21</v>
      </c>
      <c r="J10" s="34" t="s">
        <v>21</v>
      </c>
      <c r="K10" s="17" t="s">
        <v>0</v>
      </c>
      <c r="L10" s="5"/>
      <c r="M10" s="5"/>
      <c r="N10" s="5"/>
    </row>
    <row r="11" spans="1:14" ht="34.5" hidden="1" customHeight="1">
      <c r="A11" s="20"/>
      <c r="B11" s="38"/>
      <c r="C11" s="18"/>
      <c r="D11" s="18"/>
      <c r="E11" s="18"/>
      <c r="F11" s="18"/>
      <c r="G11" s="18"/>
      <c r="H11" s="18"/>
      <c r="I11" s="18"/>
      <c r="J11" s="19"/>
      <c r="K11" s="17"/>
      <c r="L11" s="5"/>
      <c r="M11" s="5"/>
      <c r="N11" s="5"/>
    </row>
    <row r="12" spans="1:14" ht="34.5" hidden="1" customHeight="1">
      <c r="A12" s="20"/>
      <c r="B12" s="16"/>
      <c r="C12" s="18"/>
      <c r="D12" s="18"/>
      <c r="E12" s="18"/>
      <c r="F12" s="18"/>
      <c r="G12" s="18"/>
      <c r="H12" s="18"/>
      <c r="I12" s="18"/>
      <c r="J12" s="19"/>
      <c r="K12" s="17"/>
      <c r="L12" s="5"/>
      <c r="M12" s="5"/>
      <c r="N12" s="5"/>
    </row>
    <row r="13" spans="1:14" ht="21.75">
      <c r="A13" s="61" t="s">
        <v>30</v>
      </c>
      <c r="B13" s="62"/>
      <c r="C13" s="45" t="str" cm="1">
        <f t="array" ref="C13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</v>
      </c>
      <c r="D13" s="45" t="str" cm="1">
        <f t="array" ref="D13">IF(
SUMPRODUCT(--ISNUMBER(SEARCH("TRI",D5:D10)))=0,"",
"TRI : "&amp;
IF(
SUMPRODUCT(--ISNUMBER(SEARCH("TRI",D5:D10))*--ISNUMBER(SEARCH("Morning",D5:D10))*--ISERROR(SEARCH("Training",D5:D10)))&gt;0,
SUMPRODUCT(--ISNUMBER(SEARCH("TRI",D5:D10))*--ISNUMBER(SEARCH("Morning",D5:D10))*--ISERROR(SEARCH("Training",D5:D10)))&amp;" M ","")&amp;
IF(
SUMPRODUCT(--ISNUMBER(SEARCH("TRI",D5:D10))*--ISNUMBER(SEARCH("Between",D5:D10))*--ISERROR(SEARCH("Training",D5:D10)))&gt;0,
"- "&amp;SUMPRODUCT(--ISNUMBER(SEARCH("TRI",D5:D10))*--ISNUMBER(SEARCH("Between",D5:D10))*--ISERROR(SEARCH("Training",D5:D10)))&amp;" B ","")&amp;
IF(
SUMPRODUCT(--ISNUMBER(SEARCH("TRI",D5:D10))*--ISNUMBER(SEARCH("Night",D5:D10))*--ISERROR(SEARCH("Training",D5:D10)))&gt;0,
"- "&amp;SUMPRODUCT(--ISNUMBER(SEARCH("TRI",D5:D10))*--ISNUMBER(SEARCH("Night",D5:D10))*--ISERROR(SEARCH("Training",D5:D10)))&amp;" N ","")&amp;
IF(
SUMPRODUCT(--ISNUMBER(SEARCH("TRI",D5:D10))*--ISNUMBER(SEARCH("Training",D5:D10)))&gt;0,
"- "&amp;SUMPRODUCT(--ISNUMBER(SEARCH("TRI",D5:D10))*--ISNUMBER(SEARCH("Training",D5:D10)))&amp;" T","")
)
&amp;
IF(
AND(
SUMPRODUCT(--ISNUMBER(SEARCH("TRI",D5:D10)))&gt;0,
SUMPRODUCT(--ISNUMBER(SEARCH("REH",D5:D10)))&gt;0
),
"   |   ",""
)
&amp;
IF(
SUMPRODUCT(--ISNUMBER(SEARCH("REH",D5:D10)))=0,"",
"REH : "&amp;
IF(
SUMPRODUCT(--ISNUMBER(SEARCH("REH",D5:D10))*--ISNUMBER(SEARCH("Morning",D5:D10))*--ISERROR(SEARCH("Training",D5:D10)))&gt;0,
SUMPRODUCT(--ISNUMBER(SEARCH("REH",D5:D10))*--ISNUMBER(SEARCH("Morning",D5:D10))*--ISERROR(SEARCH("Training",D5:D10)))&amp;" M ","")&amp;
IF(
SUMPRODUCT(--ISNUMBER(SEARCH("REH",D5:D10))*--ISNUMBER(SEARCH("Between",D5:D10))*--ISERROR(SEARCH("Training",D5:D10)))&gt;0,
"- "&amp;SUMPRODUCT(--ISNUMBER(SEARCH("REH",D5:D10))*--ISNUMBER(SEARCH("Between",D5:D10))*--ISERROR(SEARCH("Training",D5:D10)))&amp;" B ","")&amp;
IF(
SUMPRODUCT(--ISNUMBER(SEARCH("REH",D5:D10))*--ISNUMBER(SEARCH("Night",D5:D10))*--ISERROR(SEARCH("Training",D5:D10)))&gt;0,
"- "&amp;SUMPRODUCT(--ISNUMBER(SEARCH("REH",D5:D10))*--ISNUMBER(SEARCH("Night",D5:D10))*--ISERROR(SEARCH("Training",D5:D10)))&amp;" N ","")&amp;
IF(
SUMPRODUCT(--ISNUMBER(SEARCH("REH",D5:D10))*--ISNUMBER(SEARCH("Training",D5:D10)))&gt;0,
"- "&amp;SUMPRODUCT(--ISNUMBER(SEARCH("REH",D5:D10))*--ISNUMBER(SEARCH("Training",D5:D10)))&amp;" T","")
)</f>
        <v xml:space="preserve">TRI : 1 M - 1 N    |   REH : 1 M - 1 N </v>
      </c>
      <c r="E13" s="45" t="str" cm="1">
        <f t="array" ref="E13">IF(
SUMPRODUCT(--ISNUMBER(SEARCH("TRI",E5:E10)))=0,"",
"TRI : "&amp;
IF(
SUMPRODUCT(--ISNUMBER(SEARCH("TRI",E5:E10))*--ISNUMBER(SEARCH("Morning",E5:E10))*--ISERROR(SEARCH("Training",E5:E10)))&gt;0,
SUMPRODUCT(--ISNUMBER(SEARCH("TRI",E5:E10))*--ISNUMBER(SEARCH("Morning",E5:E10))*--ISERROR(SEARCH("Training",E5:E10)))&amp;" M ","")&amp;
IF(
SUMPRODUCT(--ISNUMBER(SEARCH("TRI",E5:E10))*--ISNUMBER(SEARCH("Between",E5:E10))*--ISERROR(SEARCH("Training",E5:E10)))&gt;0,
"- "&amp;SUMPRODUCT(--ISNUMBER(SEARCH("TRI",E5:E10))*--ISNUMBER(SEARCH("Between",E5:E10))*--ISERROR(SEARCH("Training",E5:E10)))&amp;" B ","")&amp;
IF(
SUMPRODUCT(--ISNUMBER(SEARCH("TRI",E5:E10))*--ISNUMBER(SEARCH("Night",E5:E10))*--ISERROR(SEARCH("Training",E5:E10)))&gt;0,
"- "&amp;SUMPRODUCT(--ISNUMBER(SEARCH("TRI",E5:E10))*--ISNUMBER(SEARCH("Night",E5:E10))*--ISERROR(SEARCH("Training",E5:E10)))&amp;" N ","")&amp;
IF(
SUMPRODUCT(--ISNUMBER(SEARCH("TRI",E5:E10))*--ISNUMBER(SEARCH("Training",E5:E10)))&gt;0,
"- "&amp;SUMPRODUCT(--ISNUMBER(SEARCH("TRI",E5:E10))*--ISNUMBER(SEARCH("Training",E5:E10)))&amp;" T","")
)
&amp;
IF(
AND(
SUMPRODUCT(--ISNUMBER(SEARCH("TRI",E5:E10)))&gt;0,
SUMPRODUCT(--ISNUMBER(SEARCH("REH",E5:E10)))&gt;0
),
"   |   ",""
)
&amp;
IF(
SUMPRODUCT(--ISNUMBER(SEARCH("REH",E5:E10)))=0,"",
"REH : "&amp;
IF(
SUMPRODUCT(--ISNUMBER(SEARCH("REH",E5:E10))*--ISNUMBER(SEARCH("Morning",E5:E10))*--ISERROR(SEARCH("Training",E5:E10)))&gt;0,
SUMPRODUCT(--ISNUMBER(SEARCH("REH",E5:E10))*--ISNUMBER(SEARCH("Morning",E5:E10))*--ISERROR(SEARCH("Training",E5:E10)))&amp;" M ","")&amp;
IF(
SUMPRODUCT(--ISNUMBER(SEARCH("REH",E5:E10))*--ISNUMBER(SEARCH("Between",E5:E10))*--ISERROR(SEARCH("Training",E5:E10)))&gt;0,
"- "&amp;SUMPRODUCT(--ISNUMBER(SEARCH("REH",E5:E10))*--ISNUMBER(SEARCH("Between",E5:E10))*--ISERROR(SEARCH("Training",E5:E10)))&amp;" B ","")&amp;
IF(
SUMPRODUCT(--ISNUMBER(SEARCH("REH",E5:E10))*--ISNUMBER(SEARCH("Night",E5:E10))*--ISERROR(SEARCH("Training",E5:E10)))&gt;0,
"- "&amp;SUMPRODUCT(--ISNUMBER(SEARCH("REH",E5:E10))*--ISNUMBER(SEARCH("Night",E5:E10))*--ISERROR(SEARCH("Training",E5:E10)))&amp;" N ","")&amp;
IF(
SUMPRODUCT(--ISNUMBER(SEARCH("REH",E5:E10))*--ISNUMBER(SEARCH("Training",E5:E10)))&gt;0,
"- "&amp;SUMPRODUCT(--ISNUMBER(SEARCH("REH",E5:E10))*--ISNUMBER(SEARCH("Training",E5:E10)))&amp;" T","")
)</f>
        <v xml:space="preserve">TRI : 1 M - 1 N    |   REH : 2 M - 1 N </v>
      </c>
      <c r="F13" s="45" t="str" cm="1">
        <f t="array" ref="F13">IF(
SUMPRODUCT(--ISNUMBER(SEARCH("TRI",F5:F10)))=0,"",
"TRI : "&amp;
IF(
SUMPRODUCT(--ISNUMBER(SEARCH("TRI",F5:F10))*--ISNUMBER(SEARCH("Morning",F5:F10))*--ISERROR(SEARCH("Training",F5:F10)))&gt;0,
SUMPRODUCT(--ISNUMBER(SEARCH("TRI",F5:F10))*--ISNUMBER(SEARCH("Morning",F5:F10))*--ISERROR(SEARCH("Training",F5:F10)))&amp;" M ","")&amp;
IF(
SUMPRODUCT(--ISNUMBER(SEARCH("TRI",F5:F10))*--ISNUMBER(SEARCH("Between",F5:F10))*--ISERROR(SEARCH("Training",F5:F10)))&gt;0,
"- "&amp;SUMPRODUCT(--ISNUMBER(SEARCH("TRI",F5:F10))*--ISNUMBER(SEARCH("Between",F5:F10))*--ISERROR(SEARCH("Training",F5:F10)))&amp;" B ","")&amp;
IF(
SUMPRODUCT(--ISNUMBER(SEARCH("TRI",F5:F10))*--ISNUMBER(SEARCH("Night",F5:F10))*--ISERROR(SEARCH("Training",F5:F10)))&gt;0,
"- "&amp;SUMPRODUCT(--ISNUMBER(SEARCH("TRI",F5:F10))*--ISNUMBER(SEARCH("Night",F5:F10))*--ISERROR(SEARCH("Training",F5:F10)))&amp;" N ","")&amp;
IF(
SUMPRODUCT(--ISNUMBER(SEARCH("TRI",F5:F10))*--ISNUMBER(SEARCH("Training",F5:F10)))&gt;0,
"- "&amp;SUMPRODUCT(--ISNUMBER(SEARCH("TRI",F5:F10))*--ISNUMBER(SEARCH("Training",F5:F10)))&amp;" T","")
)
&amp;
IF(
AND(
SUMPRODUCT(--ISNUMBER(SEARCH("TRI",F5:F10)))&gt;0,
SUMPRODUCT(--ISNUMBER(SEARCH("REH",F5:F10)))&gt;0
),
"   |   ",""
)
&amp;
IF(
SUMPRODUCT(--ISNUMBER(SEARCH("REH",F5:F10)))=0,"",
"REH : "&amp;
IF(
SUMPRODUCT(--ISNUMBER(SEARCH("REH",F5:F10))*--ISNUMBER(SEARCH("Morning",F5:F10))*--ISERROR(SEARCH("Training",F5:F10)))&gt;0,
SUMPRODUCT(--ISNUMBER(SEARCH("REH",F5:F10))*--ISNUMBER(SEARCH("Morning",F5:F10))*--ISERROR(SEARCH("Training",F5:F10)))&amp;" M ","")&amp;
IF(
SUMPRODUCT(--ISNUMBER(SEARCH("REH",F5:F10))*--ISNUMBER(SEARCH("Between",F5:F10))*--ISERROR(SEARCH("Training",F5:F10)))&gt;0,
"- "&amp;SUMPRODUCT(--ISNUMBER(SEARCH("REH",F5:F10))*--ISNUMBER(SEARCH("Between",F5:F10))*--ISERROR(SEARCH("Training",F5:F10)))&amp;" B ","")&amp;
IF(
SUMPRODUCT(--ISNUMBER(SEARCH("REH",F5:F10))*--ISNUMBER(SEARCH("Night",F5:F10))*--ISERROR(SEARCH("Training",F5:F10)))&gt;0,
"- "&amp;SUMPRODUCT(--ISNUMBER(SEARCH("REH",F5:F10))*--ISNUMBER(SEARCH("Night",F5:F10))*--ISERROR(SEARCH("Training",F5:F10)))&amp;" N ","")&amp;
IF(
SUMPRODUCT(--ISNUMBER(SEARCH("REH",F5:F10))*--ISNUMBER(SEARCH("Training",F5:F10)))&gt;0,
"- "&amp;SUMPRODUCT(--ISNUMBER(SEARCH("REH",F5:F10))*--ISNUMBER(SEARCH("Training",F5:F10)))&amp;" T","")
)</f>
        <v xml:space="preserve">TRI : 1 M - 1 N    |   REH : 1 M - 1 N </v>
      </c>
      <c r="G13" s="45" t="str" cm="1">
        <f t="array" ref="G13">IF(
SUMPRODUCT(--ISNUMBER(SEARCH("TRI",G5:G10)))=0,"",
"TRI : "&amp;
IF(
SUMPRODUCT(--ISNUMBER(SEARCH("TRI",G5:G10))*--ISNUMBER(SEARCH("Morning",G5:G10))*--ISERROR(SEARCH("Training",G5:G10)))&gt;0,
SUMPRODUCT(--ISNUMBER(SEARCH("TRI",G5:G10))*--ISNUMBER(SEARCH("Morning",G5:G10))*--ISERROR(SEARCH("Training",G5:G10)))&amp;" M ","")&amp;
IF(
SUMPRODUCT(--ISNUMBER(SEARCH("TRI",G5:G10))*--ISNUMBER(SEARCH("Between",G5:G10))*--ISERROR(SEARCH("Training",G5:G10)))&gt;0,
"- "&amp;SUMPRODUCT(--ISNUMBER(SEARCH("TRI",G5:G10))*--ISNUMBER(SEARCH("Between",G5:G10))*--ISERROR(SEARCH("Training",G5:G10)))&amp;" B ","")&amp;
IF(
SUMPRODUCT(--ISNUMBER(SEARCH("TRI",G5:G10))*--ISNUMBER(SEARCH("Night",G5:G10))*--ISERROR(SEARCH("Training",G5:G10)))&gt;0,
"- "&amp;SUMPRODUCT(--ISNUMBER(SEARCH("TRI",G5:G10))*--ISNUMBER(SEARCH("Night",G5:G10))*--ISERROR(SEARCH("Training",G5:G10)))&amp;" N ","")&amp;
IF(
SUMPRODUCT(--ISNUMBER(SEARCH("TRI",G5:G10))*--ISNUMBER(SEARCH("Training",G5:G10)))&gt;0,
"- "&amp;SUMPRODUCT(--ISNUMBER(SEARCH("TRI",G5:G10))*--ISNUMBER(SEARCH("Training",G5:G10)))&amp;" T","")
)
&amp;
IF(
AND(
SUMPRODUCT(--ISNUMBER(SEARCH("TRI",G5:G10)))&gt;0,
SUMPRODUCT(--ISNUMBER(SEARCH("REH",G5:G10)))&gt;0
),
"   |   ",""
)
&amp;
IF(
SUMPRODUCT(--ISNUMBER(SEARCH("REH",G5:G10)))=0,"",
"REH : "&amp;
IF(
SUMPRODUCT(--ISNUMBER(SEARCH("REH",G5:G10))*--ISNUMBER(SEARCH("Morning",G5:G10))*--ISERROR(SEARCH("Training",G5:G10)))&gt;0,
SUMPRODUCT(--ISNUMBER(SEARCH("REH",G5:G10))*--ISNUMBER(SEARCH("Morning",G5:G10))*--ISERROR(SEARCH("Training",G5:G10)))&amp;" M ","")&amp;
IF(
SUMPRODUCT(--ISNUMBER(SEARCH("REH",G5:G10))*--ISNUMBER(SEARCH("Between",G5:G10))*--ISERROR(SEARCH("Training",G5:G10)))&gt;0,
"- "&amp;SUMPRODUCT(--ISNUMBER(SEARCH("REH",G5:G10))*--ISNUMBER(SEARCH("Between",G5:G10))*--ISERROR(SEARCH("Training",G5:G10)))&amp;" B ","")&amp;
IF(
SUMPRODUCT(--ISNUMBER(SEARCH("REH",G5:G10))*--ISNUMBER(SEARCH("Night",G5:G10))*--ISERROR(SEARCH("Training",G5:G10)))&gt;0,
"- "&amp;SUMPRODUCT(--ISNUMBER(SEARCH("REH",G5:G10))*--ISNUMBER(SEARCH("Night",G5:G10))*--ISERROR(SEARCH("Training",G5:G10)))&amp;" N ","")&amp;
IF(
SUMPRODUCT(--ISNUMBER(SEARCH("REH",G5:G10))*--ISNUMBER(SEARCH("Training",G5:G10)))&gt;0,
"- "&amp;SUMPRODUCT(--ISNUMBER(SEARCH("REH",G5:G10))*--ISNUMBER(SEARCH("Training",G5:G10)))&amp;" T","")
)</f>
        <v xml:space="preserve">TRI : 1 M - 1 N    |   REH : 1 M - 1 N </v>
      </c>
      <c r="H13" s="45" t="str" cm="1">
        <f t="array" ref="H13">IF(
SUMPRODUCT(--ISNUMBER(SEARCH("TRI",H5:H10)))=0,"",
"TRI : "&amp;
IF(
SUMPRODUCT(--ISNUMBER(SEARCH("TRI",H5:H10))*--ISNUMBER(SEARCH("Morning",H5:H10))*--ISERROR(SEARCH("Training",H5:H10)))&gt;0,
SUMPRODUCT(--ISNUMBER(SEARCH("TRI",H5:H10))*--ISNUMBER(SEARCH("Morning",H5:H10))*--ISERROR(SEARCH("Training",H5:H10)))&amp;" M ","")&amp;
IF(
SUMPRODUCT(--ISNUMBER(SEARCH("TRI",H5:H10))*--ISNUMBER(SEARCH("Between",H5:H10))*--ISERROR(SEARCH("Training",H5:H10)))&gt;0,
"- "&amp;SUMPRODUCT(--ISNUMBER(SEARCH("TRI",H5:H10))*--ISNUMBER(SEARCH("Between",H5:H10))*--ISERROR(SEARCH("Training",H5:H10)))&amp;" B ","")&amp;
IF(
SUMPRODUCT(--ISNUMBER(SEARCH("TRI",H5:H10))*--ISNUMBER(SEARCH("Night",H5:H10))*--ISERROR(SEARCH("Training",H5:H10)))&gt;0,
"- "&amp;SUMPRODUCT(--ISNUMBER(SEARCH("TRI",H5:H10))*--ISNUMBER(SEARCH("Night",H5:H10))*--ISERROR(SEARCH("Training",H5:H10)))&amp;" N ","")&amp;
IF(
SUMPRODUCT(--ISNUMBER(SEARCH("TRI",H5:H10))*--ISNUMBER(SEARCH("Training",H5:H10)))&gt;0,
"- "&amp;SUMPRODUCT(--ISNUMBER(SEARCH("TRI",H5:H10))*--ISNUMBER(SEARCH("Training",H5:H10)))&amp;" T","")
)
&amp;
IF(
AND(
SUMPRODUCT(--ISNUMBER(SEARCH("TRI",H5:H10)))&gt;0,
SUMPRODUCT(--ISNUMBER(SEARCH("REH",H5:H10)))&gt;0
),
"   |   ",""
)
&amp;
IF(
SUMPRODUCT(--ISNUMBER(SEARCH("REH",H5:H10)))=0,"",
"REH : "&amp;
IF(
SUMPRODUCT(--ISNUMBER(SEARCH("REH",H5:H10))*--ISNUMBER(SEARCH("Morning",H5:H10))*--ISERROR(SEARCH("Training",H5:H10)))&gt;0,
SUMPRODUCT(--ISNUMBER(SEARCH("REH",H5:H10))*--ISNUMBER(SEARCH("Morning",H5:H10))*--ISERROR(SEARCH("Training",H5:H10)))&amp;" M ","")&amp;
IF(
SUMPRODUCT(--ISNUMBER(SEARCH("REH",H5:H10))*--ISNUMBER(SEARCH("Between",H5:H10))*--ISERROR(SEARCH("Training",H5:H10)))&gt;0,
"- "&amp;SUMPRODUCT(--ISNUMBER(SEARCH("REH",H5:H10))*--ISNUMBER(SEARCH("Between",H5:H10))*--ISERROR(SEARCH("Training",H5:H10)))&amp;" B ","")&amp;
IF(
SUMPRODUCT(--ISNUMBER(SEARCH("REH",H5:H10))*--ISNUMBER(SEARCH("Night",H5:H10))*--ISERROR(SEARCH("Training",H5:H10)))&gt;0,
"- "&amp;SUMPRODUCT(--ISNUMBER(SEARCH("REH",H5:H10))*--ISNUMBER(SEARCH("Night",H5:H10))*--ISERROR(SEARCH("Training",H5:H10)))&amp;" N ","")&amp;
IF(
SUMPRODUCT(--ISNUMBER(SEARCH("REH",H5:H10))*--ISNUMBER(SEARCH("Training",H5:H10)))&gt;0,
"- "&amp;SUMPRODUCT(--ISNUMBER(SEARCH("REH",H5:H10))*--ISNUMBER(SEARCH("Training",H5:H10)))&amp;" T","")
)</f>
        <v xml:space="preserve">TRI : 1 M - 1 N    |   REH : 1 M - 1 N </v>
      </c>
      <c r="I13" s="45" t="str" cm="1">
        <f t="array" ref="I13">IF(
SUMPRODUCT(--ISNUMBER(SEARCH("TRI",I5:I10)))=0,"",
"TRI : "&amp;
IF(
SUMPRODUCT(--ISNUMBER(SEARCH("TRI",I5:I10))*--ISNUMBER(SEARCH("Morning",I5:I10))*--ISERROR(SEARCH("Training",I5:I10)))&gt;0,
SUMPRODUCT(--ISNUMBER(SEARCH("TRI",I5:I10))*--ISNUMBER(SEARCH("Morning",I5:I10))*--ISERROR(SEARCH("Training",I5:I10)))&amp;" M ","")&amp;
IF(
SUMPRODUCT(--ISNUMBER(SEARCH("TRI",I5:I10))*--ISNUMBER(SEARCH("Between",I5:I10))*--ISERROR(SEARCH("Training",I5:I10)))&gt;0,
"- "&amp;SUMPRODUCT(--ISNUMBER(SEARCH("TRI",I5:I10))*--ISNUMBER(SEARCH("Between",I5:I10))*--ISERROR(SEARCH("Training",I5:I10)))&amp;" B ","")&amp;
IF(
SUMPRODUCT(--ISNUMBER(SEARCH("TRI",I5:I10))*--ISNUMBER(SEARCH("Night",I5:I10))*--ISERROR(SEARCH("Training",I5:I10)))&gt;0,
"- "&amp;SUMPRODUCT(--ISNUMBER(SEARCH("TRI",I5:I10))*--ISNUMBER(SEARCH("Night",I5:I10))*--ISERROR(SEARCH("Training",I5:I10)))&amp;" N ","")&amp;
IF(
SUMPRODUCT(--ISNUMBER(SEARCH("TRI",I5:I10))*--ISNUMBER(SEARCH("Training",I5:I10)))&gt;0,
"- "&amp;SUMPRODUCT(--ISNUMBER(SEARCH("TRI",I5:I10))*--ISNUMBER(SEARCH("Training",I5:I10)))&amp;" T","")
)
&amp;
IF(
AND(
SUMPRODUCT(--ISNUMBER(SEARCH("TRI",I5:I10)))&gt;0,
SUMPRODUCT(--ISNUMBER(SEARCH("REH",I5:I10)))&gt;0
),
"   |   ",""
)
&amp;
IF(
SUMPRODUCT(--ISNUMBER(SEARCH("REH",I5:I10)))=0,"",
"REH : "&amp;
IF(
SUMPRODUCT(--ISNUMBER(SEARCH("REH",I5:I10))*--ISNUMBER(SEARCH("Morning",I5:I10))*--ISERROR(SEARCH("Training",I5:I10)))&gt;0,
SUMPRODUCT(--ISNUMBER(SEARCH("REH",I5:I10))*--ISNUMBER(SEARCH("Morning",I5:I10))*--ISERROR(SEARCH("Training",I5:I10)))&amp;" M ","")&amp;
IF(
SUMPRODUCT(--ISNUMBER(SEARCH("REH",I5:I10))*--ISNUMBER(SEARCH("Between",I5:I10))*--ISERROR(SEARCH("Training",I5:I10)))&gt;0,
"- "&amp;SUMPRODUCT(--ISNUMBER(SEARCH("REH",I5:I10))*--ISNUMBER(SEARCH("Between",I5:I10))*--ISERROR(SEARCH("Training",I5:I10)))&amp;" B ","")&amp;
IF(
SUMPRODUCT(--ISNUMBER(SEARCH("REH",I5:I10))*--ISNUMBER(SEARCH("Night",I5:I10))*--ISERROR(SEARCH("Training",I5:I10)))&gt;0,
"- "&amp;SUMPRODUCT(--ISNUMBER(SEARCH("REH",I5:I10))*--ISNUMBER(SEARCH("Night",I5:I10))*--ISERROR(SEARCH("Training",I5:I10)))&amp;" N ","")&amp;
IF(
SUMPRODUCT(--ISNUMBER(SEARCH("REH",I5:I10))*--ISNUMBER(SEARCH("Training",I5:I10)))&gt;0,
"- "&amp;SUMPRODUCT(--ISNUMBER(SEARCH("REH",I5:I10))*--ISNUMBER(SEARCH("Training",I5:I10)))&amp;" T","")
)</f>
        <v xml:space="preserve">TRI : 1 M - 1 N    |   REH : 1 M - 1 N </v>
      </c>
      <c r="J13" s="45" t="str" cm="1">
        <f t="array" ref="J13">IF(
SUMPRODUCT(--ISNUMBER(SEARCH("TRI",J5:J10)))=0,"",
"TRI : "&amp;
IF(
SUMPRODUCT(--ISNUMBER(SEARCH("TRI",J5:J10))*--ISNUMBER(SEARCH("Morning",J5:J10))*--ISERROR(SEARCH("Training",J5:J10)))&gt;0,
SUMPRODUCT(--ISNUMBER(SEARCH("TRI",J5:J10))*--ISNUMBER(SEARCH("Morning",J5:J10))*--ISERROR(SEARCH("Training",J5:J10)))&amp;" M ","")&amp;
IF(
SUMPRODUCT(--ISNUMBER(SEARCH("TRI",J5:J10))*--ISNUMBER(SEARCH("Between",J5:J10))*--ISERROR(SEARCH("Training",J5:J10)))&gt;0,
"- "&amp;SUMPRODUCT(--ISNUMBER(SEARCH("TRI",J5:J10))*--ISNUMBER(SEARCH("Between",J5:J10))*--ISERROR(SEARCH("Training",J5:J10)))&amp;" B ","")&amp;
IF(
SUMPRODUCT(--ISNUMBER(SEARCH("TRI",J5:J10))*--ISNUMBER(SEARCH("Night",J5:J10))*--ISERROR(SEARCH("Training",J5:J10)))&gt;0,
"- "&amp;SUMPRODUCT(--ISNUMBER(SEARCH("TRI",J5:J10))*--ISNUMBER(SEARCH("Night",J5:J10))*--ISERROR(SEARCH("Training",J5:J10)))&amp;" N ","")&amp;
IF(
SUMPRODUCT(--ISNUMBER(SEARCH("TRI",J5:J10))*--ISNUMBER(SEARCH("Training",J5:J10)))&gt;0,
"- "&amp;SUMPRODUCT(--ISNUMBER(SEARCH("TRI",J5:J10))*--ISNUMBER(SEARCH("Training",J5:J10)))&amp;" T","")
)
&amp;
IF(
AND(
SUMPRODUCT(--ISNUMBER(SEARCH("TRI",J5:J10)))&gt;0,
SUMPRODUCT(--ISNUMBER(SEARCH("REH",J5:J10)))&gt;0
),
"   |   ",""
)
&amp;
IF(
SUMPRODUCT(--ISNUMBER(SEARCH("REH",J5:J10)))=0,"",
"REH : "&amp;
IF(
SUMPRODUCT(--ISNUMBER(SEARCH("REH",J5:J10))*--ISNUMBER(SEARCH("Morning",J5:J10))*--ISERROR(SEARCH("Training",J5:J10)))&gt;0,
SUMPRODUCT(--ISNUMBER(SEARCH("REH",J5:J10))*--ISNUMBER(SEARCH("Morning",J5:J10))*--ISERROR(SEARCH("Training",J5:J10)))&amp;" M ","")&amp;
IF(
SUMPRODUCT(--ISNUMBER(SEARCH("REH",J5:J10))*--ISNUMBER(SEARCH("Between",J5:J10))*--ISERROR(SEARCH("Training",J5:J10)))&gt;0,
"- "&amp;SUMPRODUCT(--ISNUMBER(SEARCH("REH",J5:J10))*--ISNUMBER(SEARCH("Between",J5:J10))*--ISERROR(SEARCH("Training",J5:J10)))&amp;" B ","")&amp;
IF(
SUMPRODUCT(--ISNUMBER(SEARCH("REH",J5:J10))*--ISNUMBER(SEARCH("Night",J5:J10))*--ISERROR(SEARCH("Training",J5:J10)))&gt;0,
"- "&amp;SUMPRODUCT(--ISNUMBER(SEARCH("REH",J5:J10))*--ISNUMBER(SEARCH("Night",J5:J10))*--ISERROR(SEARCH("Training",J5:J10)))&amp;" N ","")&amp;
IF(
SUMPRODUCT(--ISNUMBER(SEARCH("REH",J5:J10))*--ISNUMBER(SEARCH("Training",J5:J10)))&gt;0,
"- "&amp;SUMPRODUCT(--ISNUMBER(SEARCH("REH",J5:J10))*--ISNUMBER(SEARCH("Training",J5:J10)))&amp;" T","")
)</f>
        <v xml:space="preserve">TRI : 1 M - 1 N    |   REH : 1 M - 1 N </v>
      </c>
      <c r="K13" s="45" t="str" cm="1">
        <f t="array" ref="K13">IF(
SUMPRODUCT(--ISNUMBER(SEARCH("TRI",K5:K10)))=0,"",
"TRI : "&amp;
IF(
SUMPRODUCT(--ISNUMBER(SEARCH("TRI",K5:K10))*--ISNUMBER(SEARCH("Morning",K5:K10))*--ISERROR(SEARCH("Training",K5:K10)))&gt;0,
SUMPRODUCT(--ISNUMBER(SEARCH("TRI",K5:K10))*--ISNUMBER(SEARCH("Morning",K5:K10))*--ISERROR(SEARCH("Training",K5:K10)))&amp;" M ","")&amp;
IF(
SUMPRODUCT(--ISNUMBER(SEARCH("TRI",K5:K10))*--ISNUMBER(SEARCH("Between",K5:K10))*--ISERROR(SEARCH("Training",K5:K10)))&gt;0,
"- "&amp;SUMPRODUCT(--ISNUMBER(SEARCH("TRI",K5:K10))*--ISNUMBER(SEARCH("Between",K5:K10))*--ISERROR(SEARCH("Training",K5:K10)))&amp;" B ","")&amp;
IF(
SUMPRODUCT(--ISNUMBER(SEARCH("TRI",K5:K10))*--ISNUMBER(SEARCH("Night",K5:K10))*--ISERROR(SEARCH("Training",K5:K10)))&gt;0,
"- "&amp;SUMPRODUCT(--ISNUMBER(SEARCH("TRI",K5:K10))*--ISNUMBER(SEARCH("Night",K5:K10))*--ISERROR(SEARCH("Training",K5:K10)))&amp;" N ","")&amp;
IF(
SUMPRODUCT(--ISNUMBER(SEARCH("TRI",K5:K10))*--ISNUMBER(SEARCH("Training",K5:K10)))&gt;0,
"- "&amp;SUMPRODUCT(--ISNUMBER(SEARCH("TRI",K5:K10))*--ISNUMBER(SEARCH("Training",K5:K10)))&amp;" T","")
)
&amp;
IF(
AND(
SUMPRODUCT(--ISNUMBER(SEARCH("TRI",K5:K10)))&gt;0,
SUMPRODUCT(--ISNUMBER(SEARCH("REH",K5:K10)))&gt;0
),
"   |   ",""
)
&amp;
IF(
SUMPRODUCT(--ISNUMBER(SEARCH("REH",K5:K10)))=0,"",
"REH : "&amp;
IF(
SUMPRODUCT(--ISNUMBER(SEARCH("REH",K5:K10))*--ISNUMBER(SEARCH("Morning",K5:K10))*--ISERROR(SEARCH("Training",K5:K10)))&gt;0,
SUMPRODUCT(--ISNUMBER(SEARCH("REH",K5:K10))*--ISNUMBER(SEARCH("Morning",K5:K10))*--ISERROR(SEARCH("Training",K5:K10)))&amp;" M ","")&amp;
IF(
SUMPRODUCT(--ISNUMBER(SEARCH("REH",K5:K10))*--ISNUMBER(SEARCH("Between",K5:K10))*--ISERROR(SEARCH("Training",K5:K10)))&gt;0,
"- "&amp;SUMPRODUCT(--ISNUMBER(SEARCH("REH",K5:K10))*--ISNUMBER(SEARCH("Between",K5:K10))*--ISERROR(SEARCH("Training",K5:K10)))&amp;" B ","")&amp;
IF(
SUMPRODUCT(--ISNUMBER(SEARCH("REH",K5:K10))*--ISNUMBER(SEARCH("Night",K5:K10))*--ISERROR(SEARCH("Training",K5:K10)))&gt;0,
"- "&amp;SUMPRODUCT(--ISNUMBER(SEARCH("REH",K5:K10))*--ISNUMBER(SEARCH("Night",K5:K10))*--ISERROR(SEARCH("Training",K5:K10)))&amp;" N ","")&amp;
IF(
SUMPRODUCT(--ISNUMBER(SEARCH("REH",K5:K10))*--ISNUMBER(SEARCH("Training",K5:K10)))&gt;0,
"- "&amp;SUMPRODUCT(--ISNUMBER(SEARCH("REH",K5:K10))*--ISNUMBER(SEARCH("Training",K5:K10)))&amp;" T","")
)</f>
        <v/>
      </c>
      <c r="L13" s="5"/>
      <c r="M13" s="5"/>
      <c r="N13" s="5"/>
    </row>
    <row r="14" spans="1:14" ht="12.75">
      <c r="A14" s="4"/>
      <c r="B14" s="21" t="s">
        <v>31</v>
      </c>
      <c r="C14" s="4"/>
      <c r="D14" s="4"/>
      <c r="E14" s="4"/>
      <c r="F14" s="4"/>
      <c r="G14" s="4"/>
      <c r="H14" s="4"/>
      <c r="I14" s="4"/>
      <c r="J14" s="4"/>
      <c r="K14" s="4"/>
      <c r="L14" s="5"/>
      <c r="M14" s="5"/>
      <c r="N14" s="5"/>
    </row>
    <row r="15" spans="1:14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</row>
    <row r="16" spans="1:14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</row>
    <row r="18" spans="1:1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</row>
    <row r="19" spans="1:1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</row>
    <row r="20" spans="1:1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</sheetData>
  <sheetProtection algorithmName="SHA-512" hashValue="UWgsilhVShts+DJb6poFOpGDHnWUccimjxcFdN0kQpOryk4mgrYGHSCtdshePHhRTEq1y3WbkuzZlWgKhuf5WQ==" saltValue="HKiQCQAp1+dVHpvNBI1dhw==" spinCount="100000" sheet="1" objects="1" scenarios="1" autoFilter="0"/>
  <autoFilter ref="A4:B10" xr:uid="{12C8D809-9786-499F-AF9A-EA992E04D509}"/>
  <mergeCells count="3">
    <mergeCell ref="A1:B1"/>
    <mergeCell ref="A3:B3"/>
    <mergeCell ref="A13:B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7E493-4CA1-4463-B8C9-BD6DB4F4EC6D}">
  <dimension ref="A1:N18"/>
  <sheetViews>
    <sheetView tabSelected="1" workbookViewId="0">
      <selection activeCell="G9" sqref="G9"/>
    </sheetView>
  </sheetViews>
  <sheetFormatPr defaultColWidth="17.42578125" defaultRowHeight="12"/>
  <cols>
    <col min="1" max="1" width="4.28515625" style="6" bestFit="1" customWidth="1"/>
    <col min="2" max="2" width="25.42578125" style="6" customWidth="1"/>
    <col min="3" max="10" width="18.5703125" style="6" customWidth="1"/>
    <col min="11" max="11" width="1.42578125" style="6" customWidth="1"/>
    <col min="12" max="12" width="17.42578125" style="6"/>
    <col min="13" max="13" width="0" style="6" hidden="1" customWidth="1"/>
    <col min="14" max="16384" width="17.42578125" style="6"/>
  </cols>
  <sheetData>
    <row r="1" spans="1:14" ht="5.25" customHeight="1">
      <c r="A1" s="58"/>
      <c r="B1" s="58"/>
      <c r="C1" s="2" t="s">
        <v>0</v>
      </c>
      <c r="D1" s="3" t="s">
        <v>0</v>
      </c>
      <c r="E1" s="2" t="s">
        <v>0</v>
      </c>
      <c r="F1" s="3" t="s">
        <v>0</v>
      </c>
      <c r="G1" s="2" t="s">
        <v>0</v>
      </c>
      <c r="H1" s="3" t="s">
        <v>0</v>
      </c>
      <c r="I1" s="3" t="s">
        <v>0</v>
      </c>
      <c r="J1" s="2" t="s">
        <v>0</v>
      </c>
      <c r="K1" s="4"/>
      <c r="L1" s="5"/>
      <c r="M1" s="5"/>
      <c r="N1" s="5"/>
    </row>
    <row r="2" spans="1:14" ht="9.75" customHeight="1">
      <c r="A2" s="4"/>
      <c r="B2" s="4"/>
      <c r="C2" s="7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1</v>
      </c>
      <c r="K2" s="9" t="s">
        <v>0</v>
      </c>
      <c r="L2" s="5"/>
      <c r="M2" s="5"/>
      <c r="N2" s="5"/>
    </row>
    <row r="3" spans="1:14" ht="9.75" customHeight="1">
      <c r="A3" s="59" t="s">
        <v>8</v>
      </c>
      <c r="B3" s="60"/>
      <c r="C3" s="46">
        <v>46319</v>
      </c>
      <c r="D3" s="46">
        <v>46320</v>
      </c>
      <c r="E3" s="46">
        <v>46321</v>
      </c>
      <c r="F3" s="46">
        <v>46322</v>
      </c>
      <c r="G3" s="46">
        <v>46323</v>
      </c>
      <c r="H3" s="46">
        <v>46324</v>
      </c>
      <c r="I3" s="46">
        <v>46325</v>
      </c>
      <c r="J3" s="46">
        <v>46326</v>
      </c>
      <c r="K3" s="12" t="s">
        <v>0</v>
      </c>
      <c r="L3" s="5"/>
      <c r="M3" s="5"/>
      <c r="N3" s="5"/>
    </row>
    <row r="4" spans="1:14" ht="6.75" customHeight="1">
      <c r="A4" s="1" t="s">
        <v>17</v>
      </c>
      <c r="B4" s="13" t="s">
        <v>0</v>
      </c>
      <c r="C4" s="14" t="s">
        <v>0</v>
      </c>
      <c r="D4" s="14" t="s">
        <v>0</v>
      </c>
      <c r="E4" s="14" t="s">
        <v>0</v>
      </c>
      <c r="F4" s="14" t="s">
        <v>0</v>
      </c>
      <c r="G4" s="15" t="s">
        <v>0</v>
      </c>
      <c r="H4" s="14" t="s">
        <v>0</v>
      </c>
      <c r="I4" s="14" t="s">
        <v>0</v>
      </c>
      <c r="J4" s="14" t="s">
        <v>0</v>
      </c>
      <c r="K4" s="12" t="s">
        <v>0</v>
      </c>
      <c r="L4" s="5"/>
      <c r="M4" s="5"/>
      <c r="N4" s="5"/>
    </row>
    <row r="5" spans="1:14" ht="34.5" customHeight="1">
      <c r="A5" s="40">
        <v>10349</v>
      </c>
      <c r="B5" s="57" t="s">
        <v>18</v>
      </c>
      <c r="C5" s="52" t="s">
        <v>19</v>
      </c>
      <c r="D5" s="48"/>
      <c r="E5" s="48"/>
      <c r="F5" s="48"/>
      <c r="G5" s="48"/>
      <c r="H5" s="48"/>
      <c r="I5" s="52" t="s">
        <v>19</v>
      </c>
      <c r="J5" s="52" t="s">
        <v>19</v>
      </c>
      <c r="K5" s="17" t="s">
        <v>0</v>
      </c>
      <c r="L5" s="5"/>
      <c r="M5" s="48" t="s">
        <v>23</v>
      </c>
      <c r="N5" s="5"/>
    </row>
    <row r="6" spans="1:14" ht="34.5" customHeight="1">
      <c r="A6" s="40">
        <v>10381</v>
      </c>
      <c r="B6" s="57" t="s">
        <v>22</v>
      </c>
      <c r="C6" s="48" t="s">
        <v>23</v>
      </c>
      <c r="D6" s="48" t="s">
        <v>23</v>
      </c>
      <c r="E6" s="47"/>
      <c r="F6" s="47"/>
      <c r="G6" s="48" t="s">
        <v>23</v>
      </c>
      <c r="H6" s="48" t="s">
        <v>23</v>
      </c>
      <c r="I6" s="53" t="s">
        <v>19</v>
      </c>
      <c r="J6" s="48" t="s">
        <v>23</v>
      </c>
      <c r="K6" s="17" t="s">
        <v>0</v>
      </c>
      <c r="L6" s="5"/>
      <c r="M6" s="50" t="s">
        <v>32</v>
      </c>
      <c r="N6" s="5"/>
    </row>
    <row r="7" spans="1:14" ht="34.5" customHeight="1">
      <c r="A7" s="40">
        <v>10542</v>
      </c>
      <c r="B7" s="57" t="s">
        <v>24</v>
      </c>
      <c r="C7" s="52" t="s">
        <v>19</v>
      </c>
      <c r="D7" s="54" t="s">
        <v>20</v>
      </c>
      <c r="E7" s="54" t="s">
        <v>20</v>
      </c>
      <c r="F7" s="54" t="s">
        <v>20</v>
      </c>
      <c r="G7" s="54" t="s">
        <v>20</v>
      </c>
      <c r="H7" s="54" t="s">
        <v>20</v>
      </c>
      <c r="I7" s="54" t="s">
        <v>20</v>
      </c>
      <c r="J7" s="52" t="s">
        <v>19</v>
      </c>
      <c r="K7" s="17" t="s">
        <v>0</v>
      </c>
      <c r="L7" s="5"/>
      <c r="M7" s="49" t="s">
        <v>33</v>
      </c>
      <c r="N7" s="5"/>
    </row>
    <row r="8" spans="1:14" ht="34.5" customHeight="1">
      <c r="A8" s="41">
        <v>10827</v>
      </c>
      <c r="B8" s="57" t="s">
        <v>26</v>
      </c>
      <c r="C8" s="54" t="s">
        <v>20</v>
      </c>
      <c r="D8" s="48" t="s">
        <v>27</v>
      </c>
      <c r="E8" s="48" t="s">
        <v>27</v>
      </c>
      <c r="F8" s="48" t="s">
        <v>27</v>
      </c>
      <c r="G8" s="52" t="s">
        <v>19</v>
      </c>
      <c r="H8" s="48" t="s">
        <v>27</v>
      </c>
      <c r="I8" s="48" t="s">
        <v>23</v>
      </c>
      <c r="J8" s="54" t="s">
        <v>20</v>
      </c>
      <c r="K8" s="17" t="s">
        <v>0</v>
      </c>
      <c r="L8" s="5"/>
      <c r="M8" s="51" t="s">
        <v>34</v>
      </c>
      <c r="N8" s="5"/>
    </row>
    <row r="9" spans="1:14" ht="34.5" customHeight="1">
      <c r="A9" s="41">
        <v>10868</v>
      </c>
      <c r="B9" s="56" t="s">
        <v>28</v>
      </c>
      <c r="C9" s="48" t="s">
        <v>27</v>
      </c>
      <c r="D9" s="52" t="s">
        <v>19</v>
      </c>
      <c r="E9" s="48" t="s">
        <v>23</v>
      </c>
      <c r="F9" s="48" t="s">
        <v>23</v>
      </c>
      <c r="G9" s="48" t="s">
        <v>27</v>
      </c>
      <c r="H9" s="54" t="s">
        <v>21</v>
      </c>
      <c r="I9" s="48" t="s">
        <v>27</v>
      </c>
      <c r="J9" s="48" t="s">
        <v>27</v>
      </c>
      <c r="K9" s="17" t="s">
        <v>0</v>
      </c>
      <c r="L9" s="5"/>
      <c r="M9" s="51" t="s">
        <v>35</v>
      </c>
      <c r="N9" s="5"/>
    </row>
    <row r="10" spans="1:14" ht="34.5" customHeight="1">
      <c r="A10" s="41" t="s">
        <v>0</v>
      </c>
      <c r="B10" s="55" t="s">
        <v>29</v>
      </c>
      <c r="C10" s="54" t="s">
        <v>21</v>
      </c>
      <c r="D10" s="54" t="s">
        <v>21</v>
      </c>
      <c r="E10" s="54" t="s">
        <v>21</v>
      </c>
      <c r="F10" s="54" t="s">
        <v>21</v>
      </c>
      <c r="G10" s="54" t="s">
        <v>21</v>
      </c>
      <c r="H10" s="52" t="s">
        <v>19</v>
      </c>
      <c r="I10" s="54" t="s">
        <v>21</v>
      </c>
      <c r="J10" s="54" t="s">
        <v>21</v>
      </c>
      <c r="K10" s="17" t="s">
        <v>0</v>
      </c>
      <c r="L10" s="5"/>
      <c r="M10" s="51" t="s">
        <v>36</v>
      </c>
      <c r="N10" s="5"/>
    </row>
    <row r="11" spans="1:14" ht="21.75">
      <c r="A11" s="61" t="s">
        <v>30</v>
      </c>
      <c r="B11" s="62"/>
      <c r="C11" s="45" t="str" cm="1">
        <f t="array" ref="C11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- 1 N </v>
      </c>
      <c r="D11" s="45" t="str" cm="1">
        <f t="array" ref="D11">IF(
SUMPRODUCT(--ISNUMBER(SEARCH("TRI",D5:D10)))=0,"",
"TRI : "&amp;
IF(
SUMPRODUCT(--ISNUMBER(SEARCH("TRI",D5:D10))*--ISNUMBER(SEARCH("Morning",D5:D10))*--ISERROR(SEARCH("Training",D5:D10)))&gt;0,
SUMPRODUCT(--ISNUMBER(SEARCH("TRI",D5:D10))*--ISNUMBER(SEARCH("Morning",D5:D10))*--ISERROR(SEARCH("Training",D5:D10)))&amp;" M ","")&amp;
IF(
SUMPRODUCT(--ISNUMBER(SEARCH("TRI",D5:D10))*--ISNUMBER(SEARCH("Between",D5:D10))*--ISERROR(SEARCH("Training",D5:D10)))&gt;0,
"- "&amp;SUMPRODUCT(--ISNUMBER(SEARCH("TRI",D5:D10))*--ISNUMBER(SEARCH("Between",D5:D10))*--ISERROR(SEARCH("Training",D5:D10)))&amp;" B ","")&amp;
IF(
SUMPRODUCT(--ISNUMBER(SEARCH("TRI",D5:D10))*--ISNUMBER(SEARCH("Night",D5:D10))*--ISERROR(SEARCH("Training",D5:D10)))&gt;0,
"- "&amp;SUMPRODUCT(--ISNUMBER(SEARCH("TRI",D5:D10))*--ISNUMBER(SEARCH("Night",D5:D10))*--ISERROR(SEARCH("Training",D5:D10)))&amp;" N ","")&amp;
IF(
SUMPRODUCT(--ISNUMBER(SEARCH("TRI",D5:D10))*--ISNUMBER(SEARCH("Training",D5:D10)))&gt;0,
"- "&amp;SUMPRODUCT(--ISNUMBER(SEARCH("TRI",D5:D10))*--ISNUMBER(SEARCH("Training",D5:D10)))&amp;" T","")
)
&amp;
IF(
AND(
SUMPRODUCT(--ISNUMBER(SEARCH("TRI",D5:D10)))&gt;0,
SUMPRODUCT(--ISNUMBER(SEARCH("REH",D5:D10)))&gt;0
),
"   |   ",""
)
&amp;
IF(
SUMPRODUCT(--ISNUMBER(SEARCH("REH",D5:D10)))=0,"",
"REH : "&amp;
IF(
SUMPRODUCT(--ISNUMBER(SEARCH("REH",D5:D10))*--ISNUMBER(SEARCH("Morning",D5:D10))*--ISERROR(SEARCH("Training",D5:D10)))&gt;0,
SUMPRODUCT(--ISNUMBER(SEARCH("REH",D5:D10))*--ISNUMBER(SEARCH("Morning",D5:D10))*--ISERROR(SEARCH("Training",D5:D10)))&amp;" M ","")&amp;
IF(
SUMPRODUCT(--ISNUMBER(SEARCH("REH",D5:D10))*--ISNUMBER(SEARCH("Between",D5:D10))*--ISERROR(SEARCH("Training",D5:D10)))&gt;0,
"- "&amp;SUMPRODUCT(--ISNUMBER(SEARCH("REH",D5:D10))*--ISNUMBER(SEARCH("Between",D5:D10))*--ISERROR(SEARCH("Training",D5:D10)))&amp;" B ","")&amp;
IF(
SUMPRODUCT(--ISNUMBER(SEARCH("REH",D5:D10))*--ISNUMBER(SEARCH("Night",D5:D10))*--ISERROR(SEARCH("Training",D5:D10)))&gt;0,
"- "&amp;SUMPRODUCT(--ISNUMBER(SEARCH("REH",D5:D10))*--ISNUMBER(SEARCH("Night",D5:D10))*--ISERROR(SEARCH("Training",D5:D10)))&amp;" N ","")&amp;
IF(
SUMPRODUCT(--ISNUMBER(SEARCH("REH",D5:D10))*--ISNUMBER(SEARCH("Training",D5:D10)))&gt;0,
"- "&amp;SUMPRODUCT(--ISNUMBER(SEARCH("REH",D5:D10))*--ISNUMBER(SEARCH("Training",D5:D10)))&amp;" T","")
)</f>
        <v xml:space="preserve">TRI : 1 M - 1 N    |   REH : 1 M - 1 N </v>
      </c>
      <c r="E11" s="45" t="str" cm="1">
        <f t="array" ref="E11">IF(
SUMPRODUCT(--ISNUMBER(SEARCH("TRI",E5:E10)))=0,"",
"TRI : "&amp;
IF(
SUMPRODUCT(--ISNUMBER(SEARCH("TRI",E5:E10))*--ISNUMBER(SEARCH("Morning",E5:E10))*--ISERROR(SEARCH("Training",E5:E10)))&gt;0,
SUMPRODUCT(--ISNUMBER(SEARCH("TRI",E5:E10))*--ISNUMBER(SEARCH("Morning",E5:E10))*--ISERROR(SEARCH("Training",E5:E10)))&amp;" M ","")&amp;
IF(
SUMPRODUCT(--ISNUMBER(SEARCH("TRI",E5:E10))*--ISNUMBER(SEARCH("Between",E5:E10))*--ISERROR(SEARCH("Training",E5:E10)))&gt;0,
"- "&amp;SUMPRODUCT(--ISNUMBER(SEARCH("TRI",E5:E10))*--ISNUMBER(SEARCH("Between",E5:E10))*--ISERROR(SEARCH("Training",E5:E10)))&amp;" B ","")&amp;
IF(
SUMPRODUCT(--ISNUMBER(SEARCH("TRI",E5:E10))*--ISNUMBER(SEARCH("Night",E5:E10))*--ISERROR(SEARCH("Training",E5:E10)))&gt;0,
"- "&amp;SUMPRODUCT(--ISNUMBER(SEARCH("TRI",E5:E10))*--ISNUMBER(SEARCH("Night",E5:E10))*--ISERROR(SEARCH("Training",E5:E10)))&amp;" N ","")&amp;
IF(
SUMPRODUCT(--ISNUMBER(SEARCH("TRI",E5:E10))*--ISNUMBER(SEARCH("Training",E5:E10)))&gt;0,
"- "&amp;SUMPRODUCT(--ISNUMBER(SEARCH("TRI",E5:E10))*--ISNUMBER(SEARCH("Training",E5:E10)))&amp;" T","")
)
&amp;
IF(
AND(
SUMPRODUCT(--ISNUMBER(SEARCH("TRI",E5:E10)))&gt;0,
SUMPRODUCT(--ISNUMBER(SEARCH("REH",E5:E10)))&gt;0
),
"   |   ",""
)
&amp;
IF(
SUMPRODUCT(--ISNUMBER(SEARCH("REH",E5:E10)))=0,"",
"REH : "&amp;
IF(
SUMPRODUCT(--ISNUMBER(SEARCH("REH",E5:E10))*--ISNUMBER(SEARCH("Morning",E5:E10))*--ISERROR(SEARCH("Training",E5:E10)))&gt;0,
SUMPRODUCT(--ISNUMBER(SEARCH("REH",E5:E10))*--ISNUMBER(SEARCH("Morning",E5:E10))*--ISERROR(SEARCH("Training",E5:E10)))&amp;" M ","")&amp;
IF(
SUMPRODUCT(--ISNUMBER(SEARCH("REH",E5:E10))*--ISNUMBER(SEARCH("Between",E5:E10))*--ISERROR(SEARCH("Training",E5:E10)))&gt;0,
"- "&amp;SUMPRODUCT(--ISNUMBER(SEARCH("REH",E5:E10))*--ISNUMBER(SEARCH("Between",E5:E10))*--ISERROR(SEARCH("Training",E5:E10)))&amp;" B ","")&amp;
IF(
SUMPRODUCT(--ISNUMBER(SEARCH("REH",E5:E10))*--ISNUMBER(SEARCH("Night",E5:E10))*--ISERROR(SEARCH("Training",E5:E10)))&gt;0,
"- "&amp;SUMPRODUCT(--ISNUMBER(SEARCH("REH",E5:E10))*--ISNUMBER(SEARCH("Night",E5:E10))*--ISERROR(SEARCH("Training",E5:E10)))&amp;" N ","")&amp;
IF(
SUMPRODUCT(--ISNUMBER(SEARCH("REH",E5:E10))*--ISNUMBER(SEARCH("Training",E5:E10)))&gt;0,
"- "&amp;SUMPRODUCT(--ISNUMBER(SEARCH("REH",E5:E10))*--ISNUMBER(SEARCH("Training",E5:E10)))&amp;" T","")
)</f>
        <v xml:space="preserve">TRI : 1 M - 1 N    |   REH : 1 M - 1 N </v>
      </c>
      <c r="F11" s="45" t="str" cm="1">
        <f t="array" ref="F11">IF(
SUMPRODUCT(--ISNUMBER(SEARCH("TRI",F5:F10)))=0,"",
"TRI : "&amp;
IF(
SUMPRODUCT(--ISNUMBER(SEARCH("TRI",F5:F10))*--ISNUMBER(SEARCH("Morning",F5:F10))*--ISERROR(SEARCH("Training",F5:F10)))&gt;0,
SUMPRODUCT(--ISNUMBER(SEARCH("TRI",F5:F10))*--ISNUMBER(SEARCH("Morning",F5:F10))*--ISERROR(SEARCH("Training",F5:F10)))&amp;" M ","")&amp;
IF(
SUMPRODUCT(--ISNUMBER(SEARCH("TRI",F5:F10))*--ISNUMBER(SEARCH("Between",F5:F10))*--ISERROR(SEARCH("Training",F5:F10)))&gt;0,
"- "&amp;SUMPRODUCT(--ISNUMBER(SEARCH("TRI",F5:F10))*--ISNUMBER(SEARCH("Between",F5:F10))*--ISERROR(SEARCH("Training",F5:F10)))&amp;" B ","")&amp;
IF(
SUMPRODUCT(--ISNUMBER(SEARCH("TRI",F5:F10))*--ISNUMBER(SEARCH("Night",F5:F10))*--ISERROR(SEARCH("Training",F5:F10)))&gt;0,
"- "&amp;SUMPRODUCT(--ISNUMBER(SEARCH("TRI",F5:F10))*--ISNUMBER(SEARCH("Night",F5:F10))*--ISERROR(SEARCH("Training",F5:F10)))&amp;" N ","")&amp;
IF(
SUMPRODUCT(--ISNUMBER(SEARCH("TRI",F5:F10))*--ISNUMBER(SEARCH("Training",F5:F10)))&gt;0,
"- "&amp;SUMPRODUCT(--ISNUMBER(SEARCH("TRI",F5:F10))*--ISNUMBER(SEARCH("Training",F5:F10)))&amp;" T","")
)
&amp;
IF(
AND(
SUMPRODUCT(--ISNUMBER(SEARCH("TRI",F5:F10)))&gt;0,
SUMPRODUCT(--ISNUMBER(SEARCH("REH",F5:F10)))&gt;0
),
"   |   ",""
)
&amp;
IF(
SUMPRODUCT(--ISNUMBER(SEARCH("REH",F5:F10)))=0,"",
"REH : "&amp;
IF(
SUMPRODUCT(--ISNUMBER(SEARCH("REH",F5:F10))*--ISNUMBER(SEARCH("Morning",F5:F10))*--ISERROR(SEARCH("Training",F5:F10)))&gt;0,
SUMPRODUCT(--ISNUMBER(SEARCH("REH",F5:F10))*--ISNUMBER(SEARCH("Morning",F5:F10))*--ISERROR(SEARCH("Training",F5:F10)))&amp;" M ","")&amp;
IF(
SUMPRODUCT(--ISNUMBER(SEARCH("REH",F5:F10))*--ISNUMBER(SEARCH("Between",F5:F10))*--ISERROR(SEARCH("Training",F5:F10)))&gt;0,
"- "&amp;SUMPRODUCT(--ISNUMBER(SEARCH("REH",F5:F10))*--ISNUMBER(SEARCH("Between",F5:F10))*--ISERROR(SEARCH("Training",F5:F10)))&amp;" B ","")&amp;
IF(
SUMPRODUCT(--ISNUMBER(SEARCH("REH",F5:F10))*--ISNUMBER(SEARCH("Night",F5:F10))*--ISERROR(SEARCH("Training",F5:F10)))&gt;0,
"- "&amp;SUMPRODUCT(--ISNUMBER(SEARCH("REH",F5:F10))*--ISNUMBER(SEARCH("Night",F5:F10))*--ISERROR(SEARCH("Training",F5:F10)))&amp;" N ","")&amp;
IF(
SUMPRODUCT(--ISNUMBER(SEARCH("REH",F5:F10))*--ISNUMBER(SEARCH("Training",F5:F10)))&gt;0,
"- "&amp;SUMPRODUCT(--ISNUMBER(SEARCH("REH",F5:F10))*--ISNUMBER(SEARCH("Training",F5:F10)))&amp;" T","")
)</f>
        <v xml:space="preserve">TRI : 1 M - 1 N    |   REH : 1 M - 1 N </v>
      </c>
      <c r="G11" s="45" t="str" cm="1">
        <f t="array" ref="G11">IF(
SUMPRODUCT(--ISNUMBER(SEARCH("TRI",G5:G10)))=0,"",
"TRI : "&amp;
IF(
SUMPRODUCT(--ISNUMBER(SEARCH("TRI",G5:G10))*--ISNUMBER(SEARCH("Morning",G5:G10))*--ISERROR(SEARCH("Training",G5:G10)))&gt;0,
SUMPRODUCT(--ISNUMBER(SEARCH("TRI",G5:G10))*--ISNUMBER(SEARCH("Morning",G5:G10))*--ISERROR(SEARCH("Training",G5:G10)))&amp;" M ","")&amp;
IF(
SUMPRODUCT(--ISNUMBER(SEARCH("TRI",G5:G10))*--ISNUMBER(SEARCH("Between",G5:G10))*--ISERROR(SEARCH("Training",G5:G10)))&gt;0,
"- "&amp;SUMPRODUCT(--ISNUMBER(SEARCH("TRI",G5:G10))*--ISNUMBER(SEARCH("Between",G5:G10))*--ISERROR(SEARCH("Training",G5:G10)))&amp;" B ","")&amp;
IF(
SUMPRODUCT(--ISNUMBER(SEARCH("TRI",G5:G10))*--ISNUMBER(SEARCH("Night",G5:G10))*--ISERROR(SEARCH("Training",G5:G10)))&gt;0,
"- "&amp;SUMPRODUCT(--ISNUMBER(SEARCH("TRI",G5:G10))*--ISNUMBER(SEARCH("Night",G5:G10))*--ISERROR(SEARCH("Training",G5:G10)))&amp;" N ","")&amp;
IF(
SUMPRODUCT(--ISNUMBER(SEARCH("TRI",G5:G10))*--ISNUMBER(SEARCH("Training",G5:G10)))&gt;0,
"- "&amp;SUMPRODUCT(--ISNUMBER(SEARCH("TRI",G5:G10))*--ISNUMBER(SEARCH("Training",G5:G10)))&amp;" T","")
)
&amp;
IF(
AND(
SUMPRODUCT(--ISNUMBER(SEARCH("TRI",G5:G10)))&gt;0,
SUMPRODUCT(--ISNUMBER(SEARCH("REH",G5:G10)))&gt;0
),
"   |   ",""
)
&amp;
IF(
SUMPRODUCT(--ISNUMBER(SEARCH("REH",G5:G10)))=0,"",
"REH : "&amp;
IF(
SUMPRODUCT(--ISNUMBER(SEARCH("REH",G5:G10))*--ISNUMBER(SEARCH("Morning",G5:G10))*--ISERROR(SEARCH("Training",G5:G10)))&gt;0,
SUMPRODUCT(--ISNUMBER(SEARCH("REH",G5:G10))*--ISNUMBER(SEARCH("Morning",G5:G10))*--ISERROR(SEARCH("Training",G5:G10)))&amp;" M ","")&amp;
IF(
SUMPRODUCT(--ISNUMBER(SEARCH("REH",G5:G10))*--ISNUMBER(SEARCH("Between",G5:G10))*--ISERROR(SEARCH("Training",G5:G10)))&gt;0,
"- "&amp;SUMPRODUCT(--ISNUMBER(SEARCH("REH",G5:G10))*--ISNUMBER(SEARCH("Between",G5:G10))*--ISERROR(SEARCH("Training",G5:G10)))&amp;" B ","")&amp;
IF(
SUMPRODUCT(--ISNUMBER(SEARCH("REH",G5:G10))*--ISNUMBER(SEARCH("Night",G5:G10))*--ISERROR(SEARCH("Training",G5:G10)))&gt;0,
"- "&amp;SUMPRODUCT(--ISNUMBER(SEARCH("REH",G5:G10))*--ISNUMBER(SEARCH("Night",G5:G10))*--ISERROR(SEARCH("Training",G5:G10)))&amp;" N ","")&amp;
IF(
SUMPRODUCT(--ISNUMBER(SEARCH("REH",G5:G10))*--ISNUMBER(SEARCH("Training",G5:G10)))&gt;0,
"- "&amp;SUMPRODUCT(--ISNUMBER(SEARCH("REH",G5:G10))*--ISNUMBER(SEARCH("Training",G5:G10)))&amp;" T","")
)</f>
        <v xml:space="preserve">TRI : 1 M - 1 N    |   REH : 1 M - 1 N </v>
      </c>
      <c r="H11" s="45" t="str" cm="1">
        <f t="array" ref="H11">IF(
SUMPRODUCT(--ISNUMBER(SEARCH("TRI",H5:H9)))=0,"",
"TRI : "&amp;
IF(
SUMPRODUCT(--ISNUMBER(SEARCH("TRI",H5:H9))*--ISNUMBER(SEARCH("Morning",H5:H9))*--ISERROR(SEARCH("Training",H5:H9)))&gt;0,
SUMPRODUCT(--ISNUMBER(SEARCH("TRI",H5:H9))*--ISNUMBER(SEARCH("Morning",H5:H9))*--ISERROR(SEARCH("Training",H5:H9)))&amp;" M ","")&amp;
IF(
SUMPRODUCT(--ISNUMBER(SEARCH("TRI",H5:H9))*--ISNUMBER(SEARCH("Between",H5:H9))*--ISERROR(SEARCH("Training",H5:H9)))&gt;0,
"- "&amp;SUMPRODUCT(--ISNUMBER(SEARCH("TRI",H5:H9))*--ISNUMBER(SEARCH("Between",H5:H9))*--ISERROR(SEARCH("Training",H5:H9)))&amp;" B ","")&amp;
IF(
SUMPRODUCT(--ISNUMBER(SEARCH("TRI",H5:H9))*--ISNUMBER(SEARCH("Night",H5:H9))*--ISERROR(SEARCH("Training",H5:H9)))&gt;0,
"- "&amp;SUMPRODUCT(--ISNUMBER(SEARCH("TRI",H5:H9))*--ISNUMBER(SEARCH("Night",H5:H9))*--ISERROR(SEARCH("Training",H5:H9)))&amp;" N ","")&amp;
IF(
SUMPRODUCT(--ISNUMBER(SEARCH("TRI",H5:H9))*--ISNUMBER(SEARCH("Training",H5:H9)))&gt;0,
"- "&amp;SUMPRODUCT(--ISNUMBER(SEARCH("TRI",H5:H9))*--ISNUMBER(SEARCH("Training",H5:H9)))&amp;" T","")
)
&amp;
IF(
AND(
SUMPRODUCT(--ISNUMBER(SEARCH("TRI",H5:H9)))&gt;0,
SUMPRODUCT(--ISNUMBER(SEARCH("REH",H5:H9)))&gt;0
),
"   |   ",""
)
&amp;
IF(
SUMPRODUCT(--ISNUMBER(SEARCH("REH",H5:H9)))=0,"",
"REH : "&amp;
IF(
SUMPRODUCT(--ISNUMBER(SEARCH("REH",H5:H9))*--ISNUMBER(SEARCH("Morning",H5:H9))*--ISERROR(SEARCH("Training",H5:H9)))&gt;0,
SUMPRODUCT(--ISNUMBER(SEARCH("REH",H5:H9))*--ISNUMBER(SEARCH("Morning",H5:H9))*--ISERROR(SEARCH("Training",H5:H9)))&amp;" M ","")&amp;
IF(
SUMPRODUCT(--ISNUMBER(SEARCH("REH",H5:H9))*--ISNUMBER(SEARCH("Between",H5:H9))*--ISERROR(SEARCH("Training",H5:H9)))&gt;0,
"- "&amp;SUMPRODUCT(--ISNUMBER(SEARCH("REH",H5:H9))*--ISNUMBER(SEARCH("Between",H5:H9))*--ISERROR(SEARCH("Training",H5:H9)))&amp;" B ","")&amp;
IF(
SUMPRODUCT(--ISNUMBER(SEARCH("REH",H5:H9))*--ISNUMBER(SEARCH("Night",H5:H9))*--ISERROR(SEARCH("Training",H5:H9)))&gt;0,
"- "&amp;SUMPRODUCT(--ISNUMBER(SEARCH("REH",H5:H9))*--ISNUMBER(SEARCH("Night",H5:H9))*--ISERROR(SEARCH("Training",H5:H9)))&amp;" N ","")&amp;
IF(
SUMPRODUCT(--ISNUMBER(SEARCH("REH",H5:H9))*--ISNUMBER(SEARCH("Training",H5:H9)))&gt;0,
"- "&amp;SUMPRODUCT(--ISNUMBER(SEARCH("REH",H5:H9))*--ISNUMBER(SEARCH("Training",H5:H9)))&amp;" T","")
)</f>
        <v xml:space="preserve">TRI : 1 M - 1 N    |   REH : 1 M - 1 N </v>
      </c>
      <c r="I11" s="45" t="str" cm="1">
        <f t="array" ref="I11">IF(
SUMPRODUCT(--ISNUMBER(SEARCH("TRI",I5:I10)))=0,"",
"TRI : "&amp;
IF(
SUMPRODUCT(--ISNUMBER(SEARCH("TRI",I5:I10))*--ISNUMBER(SEARCH("Morning",I5:I10))*--ISERROR(SEARCH("Training",I5:I10)))&gt;0,
SUMPRODUCT(--ISNUMBER(SEARCH("TRI",I5:I10))*--ISNUMBER(SEARCH("Morning",I5:I10))*--ISERROR(SEARCH("Training",I5:I10)))&amp;" M ","")&amp;
IF(
SUMPRODUCT(--ISNUMBER(SEARCH("TRI",I5:I10))*--ISNUMBER(SEARCH("Between",I5:I10))*--ISERROR(SEARCH("Training",I5:I10)))&gt;0,
"- "&amp;SUMPRODUCT(--ISNUMBER(SEARCH("TRI",I5:I10))*--ISNUMBER(SEARCH("Between",I5:I10))*--ISERROR(SEARCH("Training",I5:I10)))&amp;" B ","")&amp;
IF(
SUMPRODUCT(--ISNUMBER(SEARCH("TRI",I5:I10))*--ISNUMBER(SEARCH("Night",I5:I10))*--ISERROR(SEARCH("Training",I5:I10)))&gt;0,
"- "&amp;SUMPRODUCT(--ISNUMBER(SEARCH("TRI",I5:I10))*--ISNUMBER(SEARCH("Night",I5:I10))*--ISERROR(SEARCH("Training",I5:I10)))&amp;" N ","")&amp;
IF(
SUMPRODUCT(--ISNUMBER(SEARCH("TRI",I5:I10))*--ISNUMBER(SEARCH("Training",I5:I10)))&gt;0,
"- "&amp;SUMPRODUCT(--ISNUMBER(SEARCH("TRI",I5:I10))*--ISNUMBER(SEARCH("Training",I5:I10)))&amp;" T","")
)
&amp;
IF(
AND(
SUMPRODUCT(--ISNUMBER(SEARCH("TRI",I5:I10)))&gt;0,
SUMPRODUCT(--ISNUMBER(SEARCH("REH",I5:I10)))&gt;0
),
"   |   ",""
)
&amp;
IF(
SUMPRODUCT(--ISNUMBER(SEARCH("REH",I5:I10)))=0,"",
"REH : "&amp;
IF(
SUMPRODUCT(--ISNUMBER(SEARCH("REH",I5:I10))*--ISNUMBER(SEARCH("Morning",I5:I10))*--ISERROR(SEARCH("Training",I5:I10)))&gt;0,
SUMPRODUCT(--ISNUMBER(SEARCH("REH",I5:I10))*--ISNUMBER(SEARCH("Morning",I5:I10))*--ISERROR(SEARCH("Training",I5:I10)))&amp;" M ","")&amp;
IF(
SUMPRODUCT(--ISNUMBER(SEARCH("REH",I5:I10))*--ISNUMBER(SEARCH("Between",I5:I10))*--ISERROR(SEARCH("Training",I5:I10)))&gt;0,
"- "&amp;SUMPRODUCT(--ISNUMBER(SEARCH("REH",I5:I10))*--ISNUMBER(SEARCH("Between",I5:I10))*--ISERROR(SEARCH("Training",I5:I10)))&amp;" B ","")&amp;
IF(
SUMPRODUCT(--ISNUMBER(SEARCH("REH",I5:I10))*--ISNUMBER(SEARCH("Night",I5:I10))*--ISERROR(SEARCH("Training",I5:I10)))&gt;0,
"- "&amp;SUMPRODUCT(--ISNUMBER(SEARCH("REH",I5:I10))*--ISNUMBER(SEARCH("Night",I5:I10))*--ISERROR(SEARCH("Training",I5:I10)))&amp;" N ","")&amp;
IF(
SUMPRODUCT(--ISNUMBER(SEARCH("REH",I5:I10))*--ISNUMBER(SEARCH("Training",I5:I10)))&gt;0,
"- "&amp;SUMPRODUCT(--ISNUMBER(SEARCH("REH",I5:I10))*--ISNUMBER(SEARCH("Training",I5:I10)))&amp;" T","")
)</f>
        <v xml:space="preserve">TRI : 1 M - 1 N    |   REH : 1 M - 1 N </v>
      </c>
      <c r="J11" s="45" t="str" cm="1">
        <f t="array" ref="J11">IF(
SUMPRODUCT(--ISNUMBER(SEARCH("TRI",J5:J10)))=0,"",
"TRI : "&amp;
IF(
SUMPRODUCT(--ISNUMBER(SEARCH("TRI",J5:J10))*--ISNUMBER(SEARCH("Morning",J5:J10))*--ISERROR(SEARCH("Training",J5:J10)))&gt;0,
SUMPRODUCT(--ISNUMBER(SEARCH("TRI",J5:J10))*--ISNUMBER(SEARCH("Morning",J5:J10))*--ISERROR(SEARCH("Training",J5:J10)))&amp;" M ","")&amp;
IF(
SUMPRODUCT(--ISNUMBER(SEARCH("TRI",J5:J10))*--ISNUMBER(SEARCH("Between",J5:J10))*--ISERROR(SEARCH("Training",J5:J10)))&gt;0,
"- "&amp;SUMPRODUCT(--ISNUMBER(SEARCH("TRI",J5:J10))*--ISNUMBER(SEARCH("Between",J5:J10))*--ISERROR(SEARCH("Training",J5:J10)))&amp;" B ","")&amp;
IF(
SUMPRODUCT(--ISNUMBER(SEARCH("TRI",J5:J10))*--ISNUMBER(SEARCH("Night",J5:J10))*--ISERROR(SEARCH("Training",J5:J10)))&gt;0,
"- "&amp;SUMPRODUCT(--ISNUMBER(SEARCH("TRI",J5:J10))*--ISNUMBER(SEARCH("Night",J5:J10))*--ISERROR(SEARCH("Training",J5:J10)))&amp;" N ","")&amp;
IF(
SUMPRODUCT(--ISNUMBER(SEARCH("TRI",J5:J10))*--ISNUMBER(SEARCH("Training",J5:J10)))&gt;0,
"- "&amp;SUMPRODUCT(--ISNUMBER(SEARCH("TRI",J5:J10))*--ISNUMBER(SEARCH("Training",J5:J10)))&amp;" T","")
)
&amp;
IF(
AND(
SUMPRODUCT(--ISNUMBER(SEARCH("TRI",J5:J10)))&gt;0,
SUMPRODUCT(--ISNUMBER(SEARCH("REH",J5:J10)))&gt;0
),
"   |   ",""
)
&amp;
IF(
SUMPRODUCT(--ISNUMBER(SEARCH("REH",J5:J10)))=0,"",
"REH : "&amp;
IF(
SUMPRODUCT(--ISNUMBER(SEARCH("REH",J5:J10))*--ISNUMBER(SEARCH("Morning",J5:J10))*--ISERROR(SEARCH("Training",J5:J10)))&gt;0,
SUMPRODUCT(--ISNUMBER(SEARCH("REH",J5:J10))*--ISNUMBER(SEARCH("Morning",J5:J10))*--ISERROR(SEARCH("Training",J5:J10)))&amp;" M ","")&amp;
IF(
SUMPRODUCT(--ISNUMBER(SEARCH("REH",J5:J10))*--ISNUMBER(SEARCH("Between",J5:J10))*--ISERROR(SEARCH("Training",J5:J10)))&gt;0,
"- "&amp;SUMPRODUCT(--ISNUMBER(SEARCH("REH",J5:J10))*--ISNUMBER(SEARCH("Between",J5:J10))*--ISERROR(SEARCH("Training",J5:J10)))&amp;" B ","")&amp;
IF(
SUMPRODUCT(--ISNUMBER(SEARCH("REH",J5:J10))*--ISNUMBER(SEARCH("Night",J5:J10))*--ISERROR(SEARCH("Training",J5:J10)))&gt;0,
"- "&amp;SUMPRODUCT(--ISNUMBER(SEARCH("REH",J5:J10))*--ISNUMBER(SEARCH("Night",J5:J10))*--ISERROR(SEARCH("Training",J5:J10)))&amp;" N ","")&amp;
IF(
SUMPRODUCT(--ISNUMBER(SEARCH("REH",J5:J10))*--ISNUMBER(SEARCH("Training",J5:J10)))&gt;0,
"- "&amp;SUMPRODUCT(--ISNUMBER(SEARCH("REH",J5:J10))*--ISNUMBER(SEARCH("Training",J5:J10)))&amp;" T","")
)</f>
        <v xml:space="preserve">TRI : 1 M - 1 N    |   REH : 1 M - 1 N </v>
      </c>
      <c r="K11" s="45" t="str" cm="1">
        <f t="array" ref="K11">IF(
SUMPRODUCT(--ISNUMBER(SEARCH("TRI",K5:K10)))=0,"",
"TRI : "&amp;
IF(
SUMPRODUCT(--ISNUMBER(SEARCH("TRI",K5:K10))*--ISNUMBER(SEARCH("Morning",K5:K10))*--ISERROR(SEARCH("Training",K5:K10)))&gt;0,
SUMPRODUCT(--ISNUMBER(SEARCH("TRI",K5:K10))*--ISNUMBER(SEARCH("Morning",K5:K10))*--ISERROR(SEARCH("Training",K5:K10)))&amp;" M ","")&amp;
IF(
SUMPRODUCT(--ISNUMBER(SEARCH("TRI",K5:K10))*--ISNUMBER(SEARCH("Between",K5:K10))*--ISERROR(SEARCH("Training",K5:K10)))&gt;0,
"- "&amp;SUMPRODUCT(--ISNUMBER(SEARCH("TRI",K5:K10))*--ISNUMBER(SEARCH("Between",K5:K10))*--ISERROR(SEARCH("Training",K5:K10)))&amp;" B ","")&amp;
IF(
SUMPRODUCT(--ISNUMBER(SEARCH("TRI",K5:K10))*--ISNUMBER(SEARCH("Night",K5:K10))*--ISERROR(SEARCH("Training",K5:K10)))&gt;0,
"- "&amp;SUMPRODUCT(--ISNUMBER(SEARCH("TRI",K5:K10))*--ISNUMBER(SEARCH("Night",K5:K10))*--ISERROR(SEARCH("Training",K5:K10)))&amp;" N ","")&amp;
IF(
SUMPRODUCT(--ISNUMBER(SEARCH("TRI",K5:K10))*--ISNUMBER(SEARCH("Training",K5:K10)))&gt;0,
"- "&amp;SUMPRODUCT(--ISNUMBER(SEARCH("TRI",K5:K10))*--ISNUMBER(SEARCH("Training",K5:K10)))&amp;" T","")
)
&amp;
IF(
AND(
SUMPRODUCT(--ISNUMBER(SEARCH("TRI",K5:K10)))&gt;0,
SUMPRODUCT(--ISNUMBER(SEARCH("REH",K5:K10)))&gt;0
),
"   |   ",""
)
&amp;
IF(
SUMPRODUCT(--ISNUMBER(SEARCH("REH",K5:K10)))=0,"",
"REH : "&amp;
IF(
SUMPRODUCT(--ISNUMBER(SEARCH("REH",K5:K10))*--ISNUMBER(SEARCH("Morning",K5:K10))*--ISERROR(SEARCH("Training",K5:K10)))&gt;0,
SUMPRODUCT(--ISNUMBER(SEARCH("REH",K5:K10))*--ISNUMBER(SEARCH("Morning",K5:K10))*--ISERROR(SEARCH("Training",K5:K10)))&amp;" M ","")&amp;
IF(
SUMPRODUCT(--ISNUMBER(SEARCH("REH",K5:K10))*--ISNUMBER(SEARCH("Between",K5:K10))*--ISERROR(SEARCH("Training",K5:K10)))&gt;0,
"- "&amp;SUMPRODUCT(--ISNUMBER(SEARCH("REH",K5:K10))*--ISNUMBER(SEARCH("Between",K5:K10))*--ISERROR(SEARCH("Training",K5:K10)))&amp;" B ","")&amp;
IF(
SUMPRODUCT(--ISNUMBER(SEARCH("REH",K5:K10))*--ISNUMBER(SEARCH("Night",K5:K10))*--ISERROR(SEARCH("Training",K5:K10)))&gt;0,
"- "&amp;SUMPRODUCT(--ISNUMBER(SEARCH("REH",K5:K10))*--ISNUMBER(SEARCH("Night",K5:K10))*--ISERROR(SEARCH("Training",K5:K10)))&amp;" N ","")&amp;
IF(
SUMPRODUCT(--ISNUMBER(SEARCH("REH",K5:K10))*--ISNUMBER(SEARCH("Training",K5:K10)))&gt;0,
"- "&amp;SUMPRODUCT(--ISNUMBER(SEARCH("REH",K5:K10))*--ISNUMBER(SEARCH("Training",K5:K10)))&amp;" T","")
)</f>
        <v/>
      </c>
      <c r="L11" s="5"/>
      <c r="M11" s="5"/>
      <c r="N11" s="5"/>
    </row>
    <row r="12" spans="1:14" ht="12.75">
      <c r="A12" s="4"/>
      <c r="B12" s="21" t="s">
        <v>31</v>
      </c>
      <c r="C12" s="4"/>
      <c r="D12" s="4"/>
      <c r="E12" s="4"/>
      <c r="F12" s="4"/>
      <c r="G12" s="4"/>
      <c r="H12" s="4"/>
      <c r="I12" s="4"/>
      <c r="J12" s="4"/>
      <c r="K12" s="4"/>
      <c r="L12" s="5"/>
      <c r="M12" s="5"/>
      <c r="N12" s="5"/>
    </row>
    <row r="13" spans="1:14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</row>
    <row r="15" spans="1:14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</row>
    <row r="16" spans="1:14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</row>
    <row r="18" spans="1:1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</row>
  </sheetData>
  <autoFilter ref="A4:B12" xr:uid="{12C8D809-9786-499F-AF9A-EA992E04D509}"/>
  <mergeCells count="3">
    <mergeCell ref="A1:B1"/>
    <mergeCell ref="A3:B3"/>
    <mergeCell ref="A11:B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2026-10-19T09:22:38Z</dcterms:created>
  <dcterms:modified xsi:type="dcterms:W3CDTF">2026-10-20T12:14:11Z</dcterms:modified>
  <cp:category/>
  <cp:contentStatus/>
</cp:coreProperties>
</file>